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填写说明" sheetId="1" state="visible" r:id="rId3"/>
    <sheet name="学号对照" sheetId="2" state="visible" r:id="rId4"/>
    <sheet name="分组与任务" sheetId="3" state="visible" r:id="rId5"/>
    <sheet name="小组规范分配" sheetId="4" state="visible" r:id="rId6"/>
    <sheet name="检索指引" sheetId="5" state="visible" r:id="rId7"/>
    <sheet name="认领登记" sheetId="6" state="visible" r:id="rId8"/>
    <sheet name="数据录入" sheetId="7" state="visible" r:id="rId9"/>
    <sheet name="填写范例" sheetId="8" state="visible" r:id="rId10"/>
    <sheet name="常见问题" sheetId="9" state="visible" r:id="rId11"/>
    <sheet name="提交自检" sheetId="10" state="visible" r:id="rId12"/>
    <sheet name="受控词表" sheetId="11" state="visible" r:id="rId13"/>
  </sheet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xdr="http://schemas.openxmlformats.org/drawingml/2006/spreadsheetDrawing">
  <authors>
    <author>Unknown Author</author>
  </authors>
  <commentList>
    <comment ref="A7" authorId="0">
      <text>
        <r>
          <rPr>
            <sz val="10"/>
            <rFont val="Noto Sans CJK SC"/>
            <family val="2"/>
          </rPr>
          <t xml:space="preserve">自动生成</t>
        </r>
        <r>
          <rPr>
            <sz val="10"/>
            <rFont val="Arial"/>
            <family val="2"/>
          </rPr>
          <t xml:space="preserve">:</t>
        </r>
        <r>
          <rPr>
            <sz val="10"/>
            <rFont val="Noto Sans CJK SC"/>
            <family val="2"/>
          </rPr>
          <t xml:space="preserve">顶栏编号</t>
        </r>
        <r>
          <rPr>
            <sz val="10"/>
            <rFont val="Arial"/>
            <family val="2"/>
          </rPr>
          <t xml:space="preserve">+</t>
        </r>
        <r>
          <rPr>
            <sz val="10"/>
            <rFont val="Noto Sans CJK SC"/>
            <family val="2"/>
          </rPr>
          <t xml:space="preserve">三位序号</t>
        </r>
        <r>
          <rPr>
            <sz val="10"/>
            <rFont val="Arial"/>
            <family val="2"/>
          </rPr>
          <t xml:space="preserve">,</t>
        </r>
        <r>
          <rPr>
            <sz val="10"/>
            <rFont val="Noto Sans CJK SC"/>
            <family val="2"/>
          </rPr>
          <t xml:space="preserve">如 </t>
        </r>
        <r>
          <rPr>
            <sz val="10"/>
            <rFont val="Arial"/>
            <family val="2"/>
          </rPr>
          <t xml:space="preserve">S07-013</t>
        </r>
        <r>
          <rPr>
            <sz val="10"/>
            <rFont val="Noto Sans CJK SC"/>
            <family val="2"/>
          </rPr>
          <t xml:space="preserve">。请勿手填。序号在提交时定稿</t>
        </r>
        <r>
          <rPr>
            <sz val="10"/>
            <rFont val="Arial"/>
            <family val="2"/>
          </rPr>
          <t xml:space="preserve">,</t>
        </r>
        <r>
          <rPr>
            <sz val="10"/>
            <rFont val="Noto Sans CJK SC"/>
            <family val="2"/>
          </rPr>
          <t xml:space="preserve">「关联条目」请在全部录完后最后填写。</t>
        </r>
      </text>
    </comment>
    <comment ref="Q7" authorId="0">
      <text>
        <r>
          <rPr>
            <sz val="10"/>
            <rFont val="Noto Sans CJK SC"/>
            <family val="2"/>
          </rPr>
          <t xml:space="preserve">用自己的话概括。整段复制原文的</t>
        </r>
        <r>
          <rPr>
            <sz val="10"/>
            <rFont val="Arial"/>
            <family val="2"/>
          </rPr>
          <t xml:space="preserve">,</t>
        </r>
        <r>
          <rPr>
            <sz val="10"/>
            <rFont val="Noto Sans CJK SC"/>
            <family val="2"/>
          </rPr>
          <t xml:space="preserve">本条不计分。</t>
        </r>
      </text>
    </comment>
    <comment ref="U7" authorId="0">
      <text>
        <r>
          <rPr>
            <sz val="10"/>
            <rFont val="Noto Sans CJK SC"/>
            <family val="2"/>
          </rPr>
          <t xml:space="preserve">本班必填。注意</t>
        </r>
        <r>
          <rPr>
            <sz val="10"/>
            <rFont val="Arial"/>
            <family val="2"/>
          </rPr>
          <t xml:space="preserve">:</t>
        </r>
        <r>
          <rPr>
            <sz val="10"/>
            <rFont val="Noto Sans CJK SC"/>
            <family val="2"/>
          </rPr>
          <t xml:space="preserve">「由县级以上人民政府执行」是统一执行</t>
        </r>
        <r>
          <rPr>
            <sz val="10"/>
            <rFont val="Arial"/>
            <family val="2"/>
          </rPr>
          <t xml:space="preserve">,</t>
        </r>
        <r>
          <rPr>
            <sz val="10"/>
            <rFont val="Noto Sans CJK SC"/>
            <family val="2"/>
          </rPr>
          <t xml:space="preserve">不是授权细化——执行主体是地方≠地方有规定权。</t>
        </r>
      </text>
    </comment>
    <comment ref="V7" authorId="0">
      <text>
        <r>
          <rPr>
            <sz val="10"/>
            <rFont val="Noto Sans CJK SC"/>
            <family val="2"/>
          </rPr>
          <t xml:space="preserve">本班留空</t>
        </r>
        <r>
          <rPr>
            <sz val="10"/>
            <rFont val="Arial"/>
            <family val="2"/>
          </rPr>
          <t xml:space="preserve">(</t>
        </r>
        <r>
          <rPr>
            <sz val="10"/>
            <rFont val="Noto Sans CJK SC"/>
            <family val="2"/>
          </rPr>
          <t xml:space="preserve">国家层</t>
        </r>
        <r>
          <rPr>
            <sz val="10"/>
            <rFont val="Arial"/>
            <family val="2"/>
          </rPr>
          <t xml:space="preserve">)</t>
        </r>
        <r>
          <rPr>
            <sz val="10"/>
            <rFont val="Noto Sans CJK SC"/>
            <family val="2"/>
          </rPr>
          <t xml:space="preserve">。地方层班级才填写。</t>
        </r>
      </text>
    </comment>
    <comment ref="W7" authorId="0">
      <text>
        <r>
          <rPr>
            <sz val="10"/>
            <rFont val="Noto Sans CJK SC"/>
            <family val="2"/>
          </rPr>
          <t xml:space="preserve">只能填权威数据库或发布机关官网。填 </t>
        </r>
        <r>
          <rPr>
            <sz val="10"/>
            <rFont val="Arial"/>
            <family val="2"/>
          </rPr>
          <t xml:space="preserve">AI </t>
        </r>
        <r>
          <rPr>
            <sz val="10"/>
            <rFont val="Noto Sans CJK SC"/>
            <family val="2"/>
          </rPr>
          <t xml:space="preserve">工具名称的本条计零分。</t>
        </r>
      </text>
    </comment>
  </commentList>
</comments>
</file>

<file path=xl/sharedStrings.xml><?xml version="1.0" encoding="utf-8"?>
<sst xmlns="http://schemas.openxmlformats.org/spreadsheetml/2006/main" count="1053" uniqueCount="545">
  <si>
    <t xml:space="preserve">《数据处理与分析》· 海洋能源法数据录入模板 v2.3</t>
  </si>
  <si>
    <t xml:space="preserve">示例班级(公开版:学号已替换为占位符)  |  对齐标注规范 v0.5  |  提交前请务必读完本页</t>
  </si>
  <si>
    <t xml:space="preserve">■ 你要做什么</t>
  </si>
  <si>
    <t xml:space="preserve">把法条「拆解」成机器能读懂的结构化数据,而不是把法条「复制」进表格。</t>
  </si>
  <si>
    <t xml:space="preserve">全班共同建成海洋能源法数据库(国家层),再由它生成一个法律咨询智能体。</t>
  </si>
  <si>
    <t xml:space="preserve">成绩构成(详见《评分标准》v1.1):平时成绩40%=课程参与度+数据合规分(机器)+数据质量分(AI初筛可疑条目、老师定分);</t>
  </si>
  <si>
    <t xml:space="preserve">期末成绩60%=智能体问答(回答溯源到你的条目并检验其质量,全程录像)+制作贡献度(v1→v2修订、组长与双人任务等)。每一项都可核查、可申诉。</t>
  </si>
  <si>
    <t xml:space="preserve">■ 四步走</t>
  </si>
  <si>
    <t xml:space="preserve">第一步  在【学号对照】页找到自己的编号(S01–S52);在【分组与任务】页确认自己的小组与组长。</t>
  </si>
  <si>
    <t xml:space="preserve">第二步  等组长按【小组规范分配】把具体文件分给你;把领到的文件填入【认领登记】。</t>
  </si>
  <si>
    <t xml:space="preserve">第三步  打开【数据录入】页,先在顶栏填「学号」和「编号」——条目ID和录入人两列会自动生成,不用手填。</t>
  </si>
  <si>
    <t xml:space="preserve">第四步  按【检索指引】到权威来源核对原文,逐条录入。每行看最右「自检结果」:红=按提示改,绿=合格。</t>
  </si>
  <si>
    <t xml:space="preserve">第五步  全部变绿后,到【提交自检】页逐项打钩,按「学号_编号_v1.xlsx」命名提交。</t>
  </si>
  <si>
    <t xml:space="preserve">■ 颜色约定</t>
  </si>
  <si>
    <t xml:space="preserve">深蓝表头=必填  绿色表头=五要素(评分权重最高)  紫色表头=央地字段(本学期新增训练点)  浅蓝表头=选填</t>
  </si>
  <si>
    <t xml:space="preserve">■ 五条红线(违反直接扣分)</t>
  </si>
  <si>
    <r>
      <rPr>
        <b val="true"/>
        <sz val="10"/>
        <color rgb="FFC00000"/>
        <rFont val="微软雅黑"/>
        <family val="0"/>
        <charset val="1"/>
      </rPr>
      <t xml:space="preserve">1. </t>
    </r>
    <r>
      <rPr>
        <b val="true"/>
        <sz val="10"/>
        <color rgb="FFC00000"/>
        <rFont val="Noto Sans CJK SC"/>
        <family val="2"/>
      </rPr>
      <t xml:space="preserve">「行为模式内容」严禁整段复制原文</t>
    </r>
    <r>
      <rPr>
        <b val="true"/>
        <sz val="10"/>
        <color rgb="FFC00000"/>
        <rFont val="微软雅黑"/>
        <family val="0"/>
        <charset val="1"/>
      </rPr>
      <t xml:space="preserve">,</t>
    </r>
    <r>
      <rPr>
        <b val="true"/>
        <sz val="10"/>
        <color rgb="FFC00000"/>
        <rFont val="Noto Sans CJK SC"/>
        <family val="2"/>
      </rPr>
      <t xml:space="preserve">必须用自己的话概括。</t>
    </r>
  </si>
  <si>
    <r>
      <rPr>
        <b val="true"/>
        <sz val="10"/>
        <color rgb="FFC00000"/>
        <rFont val="微软雅黑"/>
        <family val="0"/>
        <charset val="1"/>
      </rPr>
      <t xml:space="preserve">2. </t>
    </r>
    <r>
      <rPr>
        <b val="true"/>
        <sz val="10"/>
        <color rgb="FFC00000"/>
        <rFont val="Noto Sans CJK SC"/>
        <family val="2"/>
      </rPr>
      <t xml:space="preserve">「核实来源」只能填权威数据库或发布机关官网</t>
    </r>
    <r>
      <rPr>
        <b val="true"/>
        <sz val="10"/>
        <color rgb="FFC00000"/>
        <rFont val="微软雅黑"/>
        <family val="0"/>
        <charset val="1"/>
      </rPr>
      <t xml:space="preserve">(</t>
    </r>
    <r>
      <rPr>
        <b val="true"/>
        <sz val="10"/>
        <color rgb="FFC00000"/>
        <rFont val="Noto Sans CJK SC"/>
        <family val="2"/>
      </rPr>
      <t xml:space="preserve">具体到哪里查</t>
    </r>
    <r>
      <rPr>
        <b val="true"/>
        <sz val="10"/>
        <color rgb="FFC00000"/>
        <rFont val="微软雅黑"/>
        <family val="0"/>
        <charset val="1"/>
      </rPr>
      <t xml:space="preserve">,</t>
    </r>
    <r>
      <rPr>
        <b val="true"/>
        <sz val="10"/>
        <color rgb="FFC00000"/>
        <rFont val="Noto Sans CJK SC"/>
        <family val="2"/>
      </rPr>
      <t xml:space="preserve">见【检索指引】页</t>
    </r>
    <r>
      <rPr>
        <b val="true"/>
        <sz val="10"/>
        <color rgb="FFC00000"/>
        <rFont val="微软雅黑"/>
        <family val="0"/>
        <charset val="1"/>
      </rPr>
      <t xml:space="preserve">)</t>
    </r>
    <r>
      <rPr>
        <b val="true"/>
        <sz val="10"/>
        <color rgb="FFC00000"/>
        <rFont val="Noto Sans CJK SC"/>
        <family val="2"/>
      </rPr>
      <t xml:space="preserve">。</t>
    </r>
  </si>
  <si>
    <t xml:space="preserve">   填 AI 工具名称的,该条计零分。AI 可发现线索、辅助理解,但每条必须回权威库核对原文。</t>
  </si>
  <si>
    <r>
      <rPr>
        <sz val="10"/>
        <color rgb="FF000000"/>
        <rFont val="微软雅黑"/>
        <family val="0"/>
        <charset val="1"/>
      </rPr>
      <t xml:space="preserve">3. </t>
    </r>
    <r>
      <rPr>
        <sz val="10"/>
        <color rgb="FF000000"/>
        <rFont val="Noto Sans CJK SC"/>
        <family val="2"/>
      </rPr>
      <t xml:space="preserve">「条文定位」法条须精确到款、项</t>
    </r>
    <r>
      <rPr>
        <sz val="10"/>
        <color rgb="FF000000"/>
        <rFont val="微软雅黑"/>
        <family val="0"/>
        <charset val="1"/>
      </rPr>
      <t xml:space="preserve">;</t>
    </r>
    <r>
      <rPr>
        <sz val="10"/>
        <color rgb="FF000000"/>
        <rFont val="Noto Sans CJK SC"/>
        <family val="2"/>
      </rPr>
      <t xml:space="preserve">政策文件按「第</t>
    </r>
    <r>
      <rPr>
        <sz val="10"/>
        <color rgb="FF000000"/>
        <rFont val="微软雅黑"/>
        <family val="0"/>
        <charset val="1"/>
      </rPr>
      <t xml:space="preserve">X</t>
    </r>
    <r>
      <rPr>
        <sz val="10"/>
        <color rgb="FF000000"/>
        <rFont val="Noto Sans CJK SC"/>
        <family val="2"/>
      </rPr>
      <t xml:space="preserve">部分第</t>
    </r>
    <r>
      <rPr>
        <sz val="10"/>
        <color rgb="FF000000"/>
        <rFont val="微软雅黑"/>
        <family val="0"/>
        <charset val="1"/>
      </rPr>
      <t xml:space="preserve">X</t>
    </r>
    <r>
      <rPr>
        <sz val="10"/>
        <color rgb="FF000000"/>
        <rFont val="Noto Sans CJK SC"/>
        <family val="2"/>
      </rPr>
      <t xml:space="preserve">段」定位。</t>
    </r>
  </si>
  <si>
    <r>
      <rPr>
        <sz val="10"/>
        <color rgb="FF000000"/>
        <rFont val="微软雅黑"/>
        <family val="0"/>
        <charset val="1"/>
      </rPr>
      <t xml:space="preserve">4. </t>
    </r>
    <r>
      <rPr>
        <sz val="10"/>
        <color rgb="FF000000"/>
        <rFont val="Noto Sans CJK SC"/>
        <family val="2"/>
      </rPr>
      <t xml:space="preserve">组内不得重复录入同一条款</t>
    </r>
    <r>
      <rPr>
        <sz val="10"/>
        <color rgb="FF000000"/>
        <rFont val="微软雅黑"/>
        <family val="0"/>
        <charset val="1"/>
      </rPr>
      <t xml:space="preserve">(</t>
    </r>
    <r>
      <rPr>
        <sz val="10"/>
        <color rgb="FF000000"/>
        <rFont val="Noto Sans CJK SC"/>
        <family val="2"/>
      </rPr>
      <t xml:space="preserve">双人任务除外——双人任务恰恰要求两人独立各做一遍</t>
    </r>
    <r>
      <rPr>
        <sz val="10"/>
        <color rgb="FF000000"/>
        <rFont val="微软雅黑"/>
        <family val="0"/>
        <charset val="1"/>
      </rPr>
      <t xml:space="preserve">,</t>
    </r>
    <r>
      <rPr>
        <sz val="10"/>
        <color rgb="FF000000"/>
        <rFont val="Noto Sans CJK SC"/>
        <family val="2"/>
      </rPr>
      <t xml:space="preserve">不得互相抄</t>
    </r>
    <r>
      <rPr>
        <sz val="10"/>
        <color rgb="FF000000"/>
        <rFont val="微软雅黑"/>
        <family val="0"/>
        <charset val="1"/>
      </rPr>
      <t xml:space="preserve">)</t>
    </r>
    <r>
      <rPr>
        <sz val="10"/>
        <color rgb="FF000000"/>
        <rFont val="Noto Sans CJK SC"/>
        <family val="2"/>
      </rPr>
      <t xml:space="preserve">。</t>
    </r>
  </si>
  <si>
    <r>
      <rPr>
        <sz val="10"/>
        <color rgb="FF000000"/>
        <rFont val="微软雅黑"/>
        <family val="0"/>
        <charset val="1"/>
      </rPr>
      <t xml:space="preserve">5. </t>
    </r>
    <r>
      <rPr>
        <sz val="10"/>
        <color rgb="FF000000"/>
        <rFont val="Noto Sans CJK SC"/>
        <family val="2"/>
      </rPr>
      <t xml:space="preserve">存疑之处写进「备注」。存疑不扣分</t>
    </r>
    <r>
      <rPr>
        <sz val="10"/>
        <color rgb="FF000000"/>
        <rFont val="微软雅黑"/>
        <family val="0"/>
        <charset val="1"/>
      </rPr>
      <t xml:space="preserve">,</t>
    </r>
    <r>
      <rPr>
        <sz val="10"/>
        <color rgb="FF000000"/>
        <rFont val="Noto Sans CJK SC"/>
        <family val="2"/>
      </rPr>
      <t xml:space="preserve">隐瞒才扣分。</t>
    </r>
  </si>
  <si>
    <t xml:space="preserve">■ 五要素——本课重点(对应录入表绿色的五列)</t>
  </si>
  <si>
    <r>
      <rPr>
        <sz val="10"/>
        <color rgb="FF000000"/>
        <rFont val="微软雅黑"/>
        <family val="0"/>
        <charset val="1"/>
      </rPr>
      <t xml:space="preserve">1. ①</t>
    </r>
    <r>
      <rPr>
        <sz val="10"/>
        <color rgb="FF000000"/>
        <rFont val="Noto Sans CJK SC"/>
        <family val="2"/>
      </rPr>
      <t xml:space="preserve">规范主体——谁</t>
    </r>
    <r>
      <rPr>
        <sz val="10"/>
        <color rgb="FF000000"/>
        <rFont val="微软雅黑"/>
        <family val="0"/>
        <charset val="1"/>
      </rPr>
      <t xml:space="preserve">?</t>
    </r>
    <r>
      <rPr>
        <sz val="10"/>
        <color rgb="FF000000"/>
        <rFont val="Noto Sans CJK SC"/>
        <family val="2"/>
      </rPr>
      <t xml:space="preserve">权利义务的承受者。条文未明示主体时</t>
    </r>
    <r>
      <rPr>
        <sz val="10"/>
        <color rgb="FF000000"/>
        <rFont val="微软雅黑"/>
        <family val="0"/>
        <charset val="1"/>
      </rPr>
      <t xml:space="preserve">,</t>
    </r>
    <r>
      <rPr>
        <sz val="10"/>
        <color rgb="FF000000"/>
        <rFont val="Noto Sans CJK SC"/>
        <family val="2"/>
      </rPr>
      <t xml:space="preserve">结合章节归属、上下文与权威资料推断</t>
    </r>
    <r>
      <rPr>
        <sz val="10"/>
        <color rgb="FF000000"/>
        <rFont val="微软雅黑"/>
        <family val="0"/>
        <charset val="1"/>
      </rPr>
      <t xml:space="preserve">,</t>
    </r>
    <r>
      <rPr>
        <sz val="10"/>
        <color rgb="FF000000"/>
        <rFont val="Noto Sans CJK SC"/>
        <family val="2"/>
      </rPr>
      <t xml:space="preserve">备注注明推断依据。</t>
    </r>
  </si>
  <si>
    <r>
      <rPr>
        <sz val="10"/>
        <color rgb="FF000000"/>
        <rFont val="微软雅黑"/>
        <family val="0"/>
        <charset val="1"/>
      </rPr>
      <t xml:space="preserve">2. ②</t>
    </r>
    <r>
      <rPr>
        <sz val="10"/>
        <color rgb="FF000000"/>
        <rFont val="Noto Sans CJK SC"/>
        <family val="2"/>
      </rPr>
      <t xml:space="preserve">适用条件——什么情况下</t>
    </r>
    <r>
      <rPr>
        <sz val="10"/>
        <color rgb="FF000000"/>
        <rFont val="微软雅黑"/>
        <family val="0"/>
        <charset val="1"/>
      </rPr>
      <t xml:space="preserve">?</t>
    </r>
    <r>
      <rPr>
        <sz val="10"/>
        <color rgb="FF000000"/>
        <rFont val="Noto Sans CJK SC"/>
        <family val="2"/>
      </rPr>
      <t xml:space="preserve">无明示条件填「一般情形」。</t>
    </r>
  </si>
  <si>
    <r>
      <rPr>
        <sz val="10"/>
        <color rgb="FF000000"/>
        <rFont val="微软雅黑"/>
        <family val="0"/>
        <charset val="1"/>
      </rPr>
      <t xml:space="preserve">3. ③</t>
    </r>
    <r>
      <rPr>
        <sz val="10"/>
        <color rgb="FF000000"/>
        <rFont val="Noto Sans CJK SC"/>
        <family val="2"/>
      </rPr>
      <t xml:space="preserve">行为模式类型——「应当」→义务性</t>
    </r>
    <r>
      <rPr>
        <sz val="10"/>
        <color rgb="FF000000"/>
        <rFont val="微软雅黑"/>
        <family val="0"/>
        <charset val="1"/>
      </rPr>
      <t xml:space="preserve">;</t>
    </r>
    <r>
      <rPr>
        <sz val="10"/>
        <color rgb="FF000000"/>
        <rFont val="Noto Sans CJK SC"/>
        <family val="2"/>
      </rPr>
      <t xml:space="preserve">「可以」→授权性</t>
    </r>
    <r>
      <rPr>
        <sz val="10"/>
        <color rgb="FF000000"/>
        <rFont val="微软雅黑"/>
        <family val="0"/>
        <charset val="1"/>
      </rPr>
      <t xml:space="preserve">;</t>
    </r>
    <r>
      <rPr>
        <sz val="10"/>
        <color rgb="FF000000"/>
        <rFont val="Noto Sans CJK SC"/>
        <family val="2"/>
      </rPr>
      <t xml:space="preserve">「不得</t>
    </r>
    <r>
      <rPr>
        <sz val="10"/>
        <color rgb="FF000000"/>
        <rFont val="微软雅黑"/>
        <family val="0"/>
        <charset val="1"/>
      </rPr>
      <t xml:space="preserve">/</t>
    </r>
    <r>
      <rPr>
        <sz val="10"/>
        <color rgb="FF000000"/>
        <rFont val="Noto Sans CJK SC"/>
        <family val="2"/>
      </rPr>
      <t xml:space="preserve">禁止」→禁止性</t>
    </r>
    <r>
      <rPr>
        <sz val="10"/>
        <color rgb="FF000000"/>
        <rFont val="微软雅黑"/>
        <family val="0"/>
        <charset val="1"/>
      </rPr>
      <t xml:space="preserve">;</t>
    </r>
  </si>
  <si>
    <t xml:space="preserve">   「指导性」→对象抽象、不指向具体行为、无直接执行力(政策文件中大量存在——指明方向、留出创造空间)。</t>
  </si>
  <si>
    <r>
      <rPr>
        <sz val="10"/>
        <color rgb="FF000000"/>
        <rFont val="微软雅黑"/>
        <family val="0"/>
        <charset val="1"/>
      </rPr>
      <t xml:space="preserve">4. ④</t>
    </r>
    <r>
      <rPr>
        <sz val="10"/>
        <color rgb="FF000000"/>
        <rFont val="Noto Sans CJK SC"/>
        <family val="2"/>
      </rPr>
      <t xml:space="preserve">行为模式内容——做什么</t>
    </r>
    <r>
      <rPr>
        <sz val="10"/>
        <color rgb="FF000000"/>
        <rFont val="微软雅黑"/>
        <family val="0"/>
        <charset val="1"/>
      </rPr>
      <t xml:space="preserve">?</t>
    </r>
    <r>
      <rPr>
        <sz val="10"/>
        <color rgb="FF000000"/>
        <rFont val="Noto Sans CJK SC"/>
        <family val="2"/>
      </rPr>
      <t xml:space="preserve">用自己的话概括</t>
    </r>
    <r>
      <rPr>
        <sz val="10"/>
        <color rgb="FF000000"/>
        <rFont val="微软雅黑"/>
        <family val="0"/>
        <charset val="1"/>
      </rPr>
      <t xml:space="preserve">,≤120</t>
    </r>
    <r>
      <rPr>
        <sz val="10"/>
        <color rgb="FF000000"/>
        <rFont val="Noto Sans CJK SC"/>
        <family val="2"/>
      </rPr>
      <t xml:space="preserve">字。</t>
    </r>
  </si>
  <si>
    <r>
      <rPr>
        <sz val="10"/>
        <color rgb="FF000000"/>
        <rFont val="微软雅黑"/>
        <family val="0"/>
        <charset val="1"/>
      </rPr>
      <t xml:space="preserve">5. ⑤</t>
    </r>
    <r>
      <rPr>
        <sz val="10"/>
        <color rgb="FF000000"/>
        <rFont val="Noto Sans CJK SC"/>
        <family val="2"/>
      </rPr>
      <t xml:space="preserve">法律后果——违反或符合时如何</t>
    </r>
    <r>
      <rPr>
        <sz val="10"/>
        <color rgb="FF000000"/>
        <rFont val="微软雅黑"/>
        <family val="0"/>
        <charset val="1"/>
      </rPr>
      <t xml:space="preserve">?</t>
    </r>
    <r>
      <rPr>
        <sz val="10"/>
        <color rgb="FF000000"/>
        <rFont val="Noto Sans CJK SC"/>
        <family val="2"/>
      </rPr>
      <t xml:space="preserve">本条未载明的填「本条未设」。</t>
    </r>
  </si>
  <si>
    <t xml:space="preserve">如果一条法条填不满这五格,通常说明条文范围选大了,再拆细。</t>
  </si>
  <si>
    <r>
      <rPr>
        <sz val="10"/>
        <rFont val="Noto Sans CJK SC"/>
        <family val="2"/>
      </rPr>
      <t xml:space="preserve">一句原文可能包含两种不同性质的规范</t>
    </r>
    <r>
      <rPr>
        <sz val="10"/>
        <rFont val="微软雅黑"/>
        <family val="0"/>
        <charset val="1"/>
      </rPr>
      <t xml:space="preserve">(</t>
    </r>
    <r>
      <rPr>
        <sz val="10"/>
        <rFont val="Noto Sans CJK SC"/>
        <family val="2"/>
      </rPr>
      <t xml:space="preserve">如同句既定资质又定价格</t>
    </r>
    <r>
      <rPr>
        <sz val="10"/>
        <rFont val="微软雅黑"/>
        <family val="0"/>
        <charset val="1"/>
      </rPr>
      <t xml:space="preserve">):</t>
    </r>
    <r>
      <rPr>
        <sz val="10"/>
        <rFont val="Noto Sans CJK SC"/>
        <family val="2"/>
      </rPr>
      <t xml:space="preserve">按不同规范拆成多条</t>
    </r>
    <r>
      <rPr>
        <sz val="10"/>
        <rFont val="微软雅黑"/>
        <family val="0"/>
        <charset val="1"/>
      </rPr>
      <t xml:space="preserve">,</t>
    </r>
    <r>
      <rPr>
        <sz val="10"/>
        <rFont val="Noto Sans CJK SC"/>
        <family val="2"/>
      </rPr>
      <t xml:space="preserve">条文定位相同</t>
    </r>
    <r>
      <rPr>
        <sz val="10"/>
        <rFont val="微软雅黑"/>
        <family val="0"/>
        <charset val="1"/>
      </rPr>
      <t xml:space="preserve">,</t>
    </r>
    <r>
      <rPr>
        <sz val="10"/>
        <rFont val="Noto Sans CJK SC"/>
        <family val="2"/>
      </rPr>
      <t xml:space="preserve">备注注明「一文多义拆分」及理由。</t>
    </r>
  </si>
  <si>
    <t xml:space="preserve">■ 操作警告:不要使用剪切(Ctrl+X)</t>
  </si>
  <si>
    <t xml:space="preserve">移动或整理单元格请用「复制+粘贴+删除原处」。剪切会破坏自检公式(显示⚠受损提示或引用错误),破坏后请告知老师修复。</t>
  </si>
  <si>
    <r>
      <rPr>
        <sz val="10"/>
        <rFont val="Noto Sans CJK SC"/>
        <family val="2"/>
      </rPr>
      <t xml:space="preserve">若自检列已显示⚠受损</t>
    </r>
    <r>
      <rPr>
        <sz val="10"/>
        <rFont val="微软雅黑"/>
        <family val="0"/>
        <charset val="1"/>
      </rPr>
      <t xml:space="preserve">:</t>
    </r>
    <r>
      <rPr>
        <sz val="10"/>
        <rFont val="Noto Sans CJK SC"/>
        <family val="2"/>
      </rPr>
      <t xml:space="preserve">数据不受影响</t>
    </r>
    <r>
      <rPr>
        <sz val="10"/>
        <rFont val="微软雅黑"/>
        <family val="0"/>
        <charset val="1"/>
      </rPr>
      <t xml:space="preserve">,</t>
    </r>
    <r>
      <rPr>
        <sz val="10"/>
        <rFont val="Noto Sans CJK SC"/>
        <family val="2"/>
      </rPr>
      <t xml:space="preserve">可继续填写</t>
    </r>
    <r>
      <rPr>
        <sz val="10"/>
        <rFont val="微软雅黑"/>
        <family val="0"/>
        <charset val="1"/>
      </rPr>
      <t xml:space="preserve">;</t>
    </r>
    <r>
      <rPr>
        <sz val="10"/>
        <rFont val="Noto Sans CJK SC"/>
        <family val="2"/>
      </rPr>
      <t xml:space="preserve">修复方法见【常见问题】</t>
    </r>
    <r>
      <rPr>
        <sz val="10"/>
        <rFont val="微软雅黑"/>
        <family val="0"/>
        <charset val="1"/>
      </rPr>
      <t xml:space="preserve">,</t>
    </r>
    <r>
      <rPr>
        <sz val="10"/>
        <rFont val="Noto Sans CJK SC"/>
        <family val="2"/>
      </rPr>
      <t xml:space="preserve">最终评分以批量校验脚本独立重算为准。</t>
    </r>
  </si>
  <si>
    <t xml:space="preserve">■ 条文定位的数字与粒度</t>
  </si>
  <si>
    <t xml:space="preserve">统一使用阿拉伯数字:第16条第1款第2项(机器解析更友好)。政策文件按「第X部分第X段」。</t>
  </si>
  <si>
    <t xml:space="preserve">同一款内需要更细定位时,允许使用「第X句」(如 第4条第1款第2句)。</t>
  </si>
  <si>
    <r>
      <rPr>
        <sz val="10"/>
        <rFont val="Noto Sans CJK SC"/>
        <family val="2"/>
      </rPr>
      <t xml:space="preserve">政策文件业务性部分常用</t>
    </r>
    <r>
      <rPr>
        <sz val="10"/>
        <rFont val="微软雅黑"/>
        <family val="0"/>
        <charset val="1"/>
      </rPr>
      <t xml:space="preserve">(</t>
    </r>
    <r>
      <rPr>
        <sz val="10"/>
        <rFont val="Noto Sans CJK SC"/>
        <family val="2"/>
      </rPr>
      <t xml:space="preserve">一</t>
    </r>
    <r>
      <rPr>
        <sz val="10"/>
        <rFont val="微软雅黑"/>
        <family val="0"/>
        <charset val="1"/>
      </rPr>
      <t xml:space="preserve">)(</t>
    </r>
    <r>
      <rPr>
        <sz val="10"/>
        <rFont val="Noto Sans CJK SC"/>
        <family val="2"/>
      </rPr>
      <t xml:space="preserve">二</t>
    </r>
    <r>
      <rPr>
        <sz val="10"/>
        <rFont val="微软雅黑"/>
        <family val="0"/>
        <charset val="1"/>
      </rPr>
      <t xml:space="preserve">)…</t>
    </r>
    <r>
      <rPr>
        <sz val="10"/>
        <rFont val="Noto Sans CJK SC"/>
        <family val="2"/>
      </rPr>
      <t xml:space="preserve">连续编号</t>
    </r>
    <r>
      <rPr>
        <sz val="10"/>
        <rFont val="微软雅黑"/>
        <family val="0"/>
        <charset val="1"/>
      </rPr>
      <t xml:space="preserve">:</t>
    </r>
    <r>
      <rPr>
        <sz val="10"/>
        <rFont val="Noto Sans CJK SC"/>
        <family val="2"/>
      </rPr>
      <t xml:space="preserve">此类编号按「项」定位</t>
    </r>
    <r>
      <rPr>
        <sz val="10"/>
        <rFont val="微软雅黑"/>
        <family val="0"/>
        <charset val="1"/>
      </rPr>
      <t xml:space="preserve">(</t>
    </r>
    <r>
      <rPr>
        <sz val="10"/>
        <rFont val="Noto Sans CJK SC"/>
        <family val="2"/>
      </rPr>
      <t xml:space="preserve">如「第</t>
    </r>
    <r>
      <rPr>
        <sz val="10"/>
        <rFont val="微软雅黑"/>
        <family val="0"/>
        <charset val="1"/>
      </rPr>
      <t xml:space="preserve">11</t>
    </r>
    <r>
      <rPr>
        <sz val="10"/>
        <rFont val="Noto Sans CJK SC"/>
        <family val="2"/>
      </rPr>
      <t xml:space="preserve">项第</t>
    </r>
    <r>
      <rPr>
        <sz val="10"/>
        <rFont val="微软雅黑"/>
        <family val="0"/>
        <charset val="1"/>
      </rPr>
      <t xml:space="preserve">2</t>
    </r>
    <r>
      <rPr>
        <sz val="10"/>
        <rFont val="Noto Sans CJK SC"/>
        <family val="2"/>
      </rPr>
      <t xml:space="preserve">句」</t>
    </r>
    <r>
      <rPr>
        <sz val="10"/>
        <rFont val="微软雅黑"/>
        <family val="0"/>
        <charset val="1"/>
      </rPr>
      <t xml:space="preserve">,</t>
    </r>
    <r>
      <rPr>
        <sz val="10"/>
        <rFont val="Noto Sans CJK SC"/>
        <family val="2"/>
      </rPr>
      <t xml:space="preserve">仅限政策文件</t>
    </r>
    <r>
      <rPr>
        <sz val="10"/>
        <rFont val="微软雅黑"/>
        <family val="0"/>
        <charset val="1"/>
      </rPr>
      <t xml:space="preserve">)</t>
    </r>
    <r>
      <rPr>
        <sz val="10"/>
        <rFont val="Noto Sans CJK SC"/>
        <family val="2"/>
      </rPr>
      <t xml:space="preserve">。</t>
    </r>
  </si>
  <si>
    <t xml:space="preserve">■ 央地权限配置——本学期新增训练点</t>
  </si>
  <si>
    <t xml:space="preserve">本班任务是国家层规范:「制定区域」填「国家」,「地方自主权类型」留空,「央地权限配置」必填:</t>
  </si>
  <si>
    <t xml:space="preserve">  统一执行 = 全国一体适用,地方仅负执行之责(注意:执行主体是地方 ≠ 地方有规定权)</t>
  </si>
  <si>
    <t xml:space="preserve">  授权细化 = 条文明确授权地方作出具体规定(如「具体办法由省级人民政府制定」)</t>
  </si>
  <si>
    <t xml:space="preserve">  因地制宜 = 允许地方选择幅度、方式、时点,含试点授权(常与「指导性」共现)</t>
  </si>
  <si>
    <t xml:space="preserve">  未作规定 = 条文对地方权限沉默(规范对象是企业或个人时多为此类)</t>
  </si>
  <si>
    <t xml:space="preserve">  中央专属 = 事项明示或依性质属中央(如领海、专属经济区)</t>
  </si>
  <si>
    <t xml:space="preserve">这一栏训练的是你对政府间关系的理解——期末将与地方层数据交叉,算出央地权限配置矩阵。</t>
  </si>
  <si>
    <t xml:space="preserve">■ 提交</t>
  </si>
  <si>
    <t xml:space="preserve">命名:学号_编号_v1.xlsx(修订稿为v2)。v1提交后每人会收到一份逐条校验报告,按报告修订再交v2。</t>
  </si>
  <si>
    <t xml:space="preserve">模板本身的问题(下拉缺项、校验误报)直接告诉老师,不要自行改表头或删除公式列。</t>
  </si>
  <si>
    <t xml:space="preserve">学号 → 编号对照表(条目ID前缀)</t>
  </si>
  <si>
    <t xml:space="preserve">找到你的学号,对应的编号就是你条目ID的前缀。例:编号S07的第13条数据,条目ID = S07-013(序号三位补零)。</t>
  </si>
  <si>
    <t xml:space="preserve">编号</t>
  </si>
  <si>
    <t xml:space="preserve">学号</t>
  </si>
  <si>
    <t xml:space="preserve">专业</t>
  </si>
  <si>
    <t xml:space="preserve">班级</t>
  </si>
  <si>
    <t xml:space="preserve">S01</t>
  </si>
  <si>
    <t xml:space="preserve">20XX-XXXX-01</t>
  </si>
  <si>
    <t xml:space="preserve">法学</t>
  </si>
  <si>
    <t xml:space="preserve">示例班级</t>
  </si>
  <si>
    <t xml:space="preserve">S02</t>
  </si>
  <si>
    <t xml:space="preserve">20XX-XXXX-02</t>
  </si>
  <si>
    <t xml:space="preserve">S03</t>
  </si>
  <si>
    <t xml:space="preserve">20XX-XXXX-03</t>
  </si>
  <si>
    <t xml:space="preserve">S04</t>
  </si>
  <si>
    <t xml:space="preserve">20XX-XXXX-04</t>
  </si>
  <si>
    <t xml:space="preserve">S05</t>
  </si>
  <si>
    <t xml:space="preserve">20XX-XXXX-05</t>
  </si>
  <si>
    <t xml:space="preserve">S06</t>
  </si>
  <si>
    <t xml:space="preserve">20XX-XXXX-06</t>
  </si>
  <si>
    <t xml:space="preserve">S07</t>
  </si>
  <si>
    <t xml:space="preserve">20XX-XXXX-07</t>
  </si>
  <si>
    <t xml:space="preserve">S08</t>
  </si>
  <si>
    <t xml:space="preserve">20XX-XXXX-08</t>
  </si>
  <si>
    <t xml:space="preserve">S09</t>
  </si>
  <si>
    <t xml:space="preserve">20XX-XXXX-09</t>
  </si>
  <si>
    <t xml:space="preserve">S10</t>
  </si>
  <si>
    <t xml:space="preserve">20XX-XXXX-10</t>
  </si>
  <si>
    <t xml:space="preserve">S11</t>
  </si>
  <si>
    <t xml:space="preserve">20XX-XXXX-11</t>
  </si>
  <si>
    <t xml:space="preserve">S12</t>
  </si>
  <si>
    <t xml:space="preserve">20XX-XXXX-12</t>
  </si>
  <si>
    <t xml:space="preserve">S13</t>
  </si>
  <si>
    <t xml:space="preserve">20XX-XXXX-13</t>
  </si>
  <si>
    <t xml:space="preserve">S14</t>
  </si>
  <si>
    <t xml:space="preserve">20XX-XXXX-14</t>
  </si>
  <si>
    <t xml:space="preserve">S15</t>
  </si>
  <si>
    <t xml:space="preserve">20XX-XXXX-15</t>
  </si>
  <si>
    <t xml:space="preserve">S16</t>
  </si>
  <si>
    <t xml:space="preserve">20XX-XXXX-16</t>
  </si>
  <si>
    <t xml:space="preserve">S17</t>
  </si>
  <si>
    <t xml:space="preserve">20XX-XXXX-17</t>
  </si>
  <si>
    <t xml:space="preserve">S18</t>
  </si>
  <si>
    <t xml:space="preserve">20XX-XXXX-18</t>
  </si>
  <si>
    <t xml:space="preserve">S19</t>
  </si>
  <si>
    <t xml:space="preserve">20XX-XXXX-19</t>
  </si>
  <si>
    <t xml:space="preserve">S20</t>
  </si>
  <si>
    <t xml:space="preserve">20XX-XXXX-20</t>
  </si>
  <si>
    <t xml:space="preserve">S21</t>
  </si>
  <si>
    <t xml:space="preserve">20XX-XXXX-21</t>
  </si>
  <si>
    <t xml:space="preserve">S22</t>
  </si>
  <si>
    <t xml:space="preserve">20XX-XXXX-22</t>
  </si>
  <si>
    <t xml:space="preserve">S23</t>
  </si>
  <si>
    <t xml:space="preserve">20XX-XXXX-23</t>
  </si>
  <si>
    <t xml:space="preserve">S24</t>
  </si>
  <si>
    <t xml:space="preserve">20XX-XXXX-24</t>
  </si>
  <si>
    <t xml:space="preserve">S25</t>
  </si>
  <si>
    <t xml:space="preserve">20XX-XXXX-25</t>
  </si>
  <si>
    <t xml:space="preserve">S26</t>
  </si>
  <si>
    <t xml:space="preserve">20XX-XXXX-26</t>
  </si>
  <si>
    <t xml:space="preserve">S27</t>
  </si>
  <si>
    <t xml:space="preserve">20XX-XXXX-27</t>
  </si>
  <si>
    <t xml:space="preserve">S28</t>
  </si>
  <si>
    <t xml:space="preserve">20XX-XXXX-28</t>
  </si>
  <si>
    <t xml:space="preserve">S29</t>
  </si>
  <si>
    <t xml:space="preserve">20XX-XXXX-29</t>
  </si>
  <si>
    <t xml:space="preserve">S30</t>
  </si>
  <si>
    <t xml:space="preserve">20XX-XXXX-30</t>
  </si>
  <si>
    <t xml:space="preserve">S31</t>
  </si>
  <si>
    <t xml:space="preserve">20XX-XXXX-31</t>
  </si>
  <si>
    <t xml:space="preserve">S32</t>
  </si>
  <si>
    <t xml:space="preserve">20XX-XXXX-32</t>
  </si>
  <si>
    <t xml:space="preserve">S33</t>
  </si>
  <si>
    <t xml:space="preserve">20XX-XXXX-33</t>
  </si>
  <si>
    <t xml:space="preserve">S34</t>
  </si>
  <si>
    <t xml:space="preserve">20XX-XXXX-34</t>
  </si>
  <si>
    <t xml:space="preserve">S35</t>
  </si>
  <si>
    <t xml:space="preserve">20XX-XXXX-35</t>
  </si>
  <si>
    <t xml:space="preserve">S36</t>
  </si>
  <si>
    <t xml:space="preserve">20XX-XXXX-36</t>
  </si>
  <si>
    <t xml:space="preserve">S37</t>
  </si>
  <si>
    <t xml:space="preserve">20XX-XXXX-37</t>
  </si>
  <si>
    <t xml:space="preserve">S38</t>
  </si>
  <si>
    <t xml:space="preserve">20XX-XXXX-38</t>
  </si>
  <si>
    <t xml:space="preserve">S39</t>
  </si>
  <si>
    <t xml:space="preserve">20XX-XXXX-39</t>
  </si>
  <si>
    <t xml:space="preserve">S40</t>
  </si>
  <si>
    <t xml:space="preserve">20XX-XXXX-40</t>
  </si>
  <si>
    <t xml:space="preserve">S41</t>
  </si>
  <si>
    <t xml:space="preserve">20XX-XXXX-41</t>
  </si>
  <si>
    <t xml:space="preserve">S42</t>
  </si>
  <si>
    <t xml:space="preserve">20XX-XXXX-42</t>
  </si>
  <si>
    <t xml:space="preserve">S43</t>
  </si>
  <si>
    <t xml:space="preserve">20XX-XXXX-43</t>
  </si>
  <si>
    <t xml:space="preserve">S44</t>
  </si>
  <si>
    <t xml:space="preserve">20XX-XXXX-44</t>
  </si>
  <si>
    <t xml:space="preserve">S45</t>
  </si>
  <si>
    <t xml:space="preserve">20XX-XXXX-45</t>
  </si>
  <si>
    <t xml:space="preserve">S46</t>
  </si>
  <si>
    <t xml:space="preserve">20XX-XXXX-46</t>
  </si>
  <si>
    <t xml:space="preserve">S47</t>
  </si>
  <si>
    <t xml:space="preserve">20XX-XXXX-47</t>
  </si>
  <si>
    <t xml:space="preserve">S48</t>
  </si>
  <si>
    <t xml:space="preserve">20XX-XXXX-48</t>
  </si>
  <si>
    <t xml:space="preserve">S49</t>
  </si>
  <si>
    <t xml:space="preserve">20XX-XXXX-49</t>
  </si>
  <si>
    <t xml:space="preserve">S50</t>
  </si>
  <si>
    <t xml:space="preserve">20XX-XXXX-50</t>
  </si>
  <si>
    <t xml:space="preserve">S51</t>
  </si>
  <si>
    <t xml:space="preserve">20XX-XXXX-51</t>
  </si>
  <si>
    <t xml:space="preserve">S52</t>
  </si>
  <si>
    <t xml:space="preserve">20XX-XXXX-52</t>
  </si>
  <si>
    <t xml:space="preserve">分组名单与组长任务</t>
  </si>
  <si>
    <t xml:space="preserve">随机分组(种子2026,可复现)。组长由老师指定后填入下表。</t>
  </si>
  <si>
    <t xml:space="preserve">第1组(10人)</t>
  </si>
  <si>
    <t xml:space="preserve">第2组(11人)</t>
  </si>
  <si>
    <t xml:space="preserve">第3组(11人)</t>
  </si>
  <si>
    <t xml:space="preserve">第4组(10人)</t>
  </si>
  <si>
    <t xml:space="preserve">第5组(10人)</t>
  </si>
  <si>
    <t xml:space="preserve">组长:</t>
  </si>
  <si>
    <t xml:space="preserve">组长任务清单(组长工作计入平时成绩加分)</t>
  </si>
  <si>
    <r>
      <rPr>
        <sz val="10"/>
        <color rgb="FF000000"/>
        <rFont val="微软雅黑"/>
        <family val="0"/>
        <charset val="1"/>
      </rPr>
      <t xml:space="preserve">1. </t>
    </r>
    <r>
      <rPr>
        <sz val="10"/>
        <color rgb="FF000000"/>
        <rFont val="Noto Sans CJK SC"/>
        <family val="2"/>
      </rPr>
      <t xml:space="preserve">从【小组规范分配】页认领本组文件包</t>
    </r>
    <r>
      <rPr>
        <sz val="10"/>
        <color rgb="FF000000"/>
        <rFont val="微软雅黑"/>
        <family val="0"/>
        <charset val="1"/>
      </rPr>
      <t xml:space="preserve">,</t>
    </r>
    <r>
      <rPr>
        <sz val="10"/>
        <color rgb="FF000000"/>
        <rFont val="Noto Sans CJK SC"/>
        <family val="2"/>
      </rPr>
      <t xml:space="preserve">按「预估条目」把文件分给组员</t>
    </r>
    <r>
      <rPr>
        <sz val="10"/>
        <color rgb="FF000000"/>
        <rFont val="微软雅黑"/>
        <family val="0"/>
        <charset val="1"/>
      </rPr>
      <t xml:space="preserve">(</t>
    </r>
    <r>
      <rPr>
        <sz val="10"/>
        <color rgb="FF000000"/>
        <rFont val="Noto Sans CJK SC"/>
        <family val="2"/>
      </rPr>
      <t xml:space="preserve">每人约</t>
    </r>
    <r>
      <rPr>
        <sz val="10"/>
        <color rgb="FF000000"/>
        <rFont val="微软雅黑"/>
        <family val="0"/>
        <charset val="1"/>
      </rPr>
      <t xml:space="preserve">25</t>
    </r>
    <r>
      <rPr>
        <sz val="10"/>
        <color rgb="FF000000"/>
        <rFont val="Noto Sans CJK SC"/>
        <family val="2"/>
      </rPr>
      <t xml:space="preserve">条</t>
    </r>
    <r>
      <rPr>
        <sz val="10"/>
        <color rgb="FF000000"/>
        <rFont val="微软雅黑"/>
        <family val="0"/>
        <charset val="1"/>
      </rPr>
      <t xml:space="preserve">);≥4</t>
    </r>
    <r>
      <rPr>
        <sz val="10"/>
        <color rgb="FF000000"/>
        <rFont val="Noto Sans CJK SC"/>
        <family val="2"/>
      </rPr>
      <t xml:space="preserve">星文件指定两名组员独立完成</t>
    </r>
    <r>
      <rPr>
        <sz val="10"/>
        <color rgb="FF000000"/>
        <rFont val="微软雅黑"/>
        <family val="0"/>
        <charset val="1"/>
      </rPr>
      <t xml:space="preserve">,</t>
    </r>
    <r>
      <rPr>
        <sz val="10"/>
        <color rgb="FF000000"/>
        <rFont val="Noto Sans CJK SC"/>
        <family val="2"/>
      </rPr>
      <t xml:space="preserve">写明配对。</t>
    </r>
  </si>
  <si>
    <r>
      <rPr>
        <sz val="10"/>
        <color rgb="FF000000"/>
        <rFont val="微软雅黑"/>
        <family val="0"/>
        <charset val="1"/>
      </rPr>
      <t xml:space="preserve">2. </t>
    </r>
    <r>
      <rPr>
        <sz val="10"/>
        <color rgb="FF000000"/>
        <rFont val="Noto Sans CJK SC"/>
        <family val="2"/>
      </rPr>
      <t xml:space="preserve">在【认领登记】的组内分工核对表登记分配结果</t>
    </r>
    <r>
      <rPr>
        <sz val="10"/>
        <color rgb="FF000000"/>
        <rFont val="微软雅黑"/>
        <family val="0"/>
        <charset val="1"/>
      </rPr>
      <t xml:space="preserve">,</t>
    </r>
    <r>
      <rPr>
        <sz val="10"/>
        <color rgb="FF000000"/>
        <rFont val="Noto Sans CJK SC"/>
        <family val="2"/>
      </rPr>
      <t xml:space="preserve">确保本组文件全部有人认领、无重复认领</t>
    </r>
    <r>
      <rPr>
        <sz val="10"/>
        <color rgb="FF000000"/>
        <rFont val="微软雅黑"/>
        <family val="0"/>
        <charset val="1"/>
      </rPr>
      <t xml:space="preserve">(</t>
    </r>
    <r>
      <rPr>
        <sz val="10"/>
        <color rgb="FF000000"/>
        <rFont val="Noto Sans CJK SC"/>
        <family val="2"/>
      </rPr>
      <t xml:space="preserve">双人任务除外</t>
    </r>
    <r>
      <rPr>
        <sz val="10"/>
        <color rgb="FF000000"/>
        <rFont val="微软雅黑"/>
        <family val="0"/>
        <charset val="1"/>
      </rPr>
      <t xml:space="preserve">)</t>
    </r>
    <r>
      <rPr>
        <sz val="10"/>
        <color rgb="FF000000"/>
        <rFont val="Noto Sans CJK SC"/>
        <family val="2"/>
      </rPr>
      <t xml:space="preserve">。</t>
    </r>
  </si>
  <si>
    <r>
      <rPr>
        <sz val="10"/>
        <color rgb="FF000000"/>
        <rFont val="微软雅黑"/>
        <family val="0"/>
        <charset val="1"/>
      </rPr>
      <t xml:space="preserve">3. </t>
    </r>
    <r>
      <rPr>
        <sz val="10"/>
        <color rgb="FF000000"/>
        <rFont val="Noto Sans CJK SC"/>
        <family val="2"/>
      </rPr>
      <t xml:space="preserve">收齐组员 </t>
    </r>
    <r>
      <rPr>
        <sz val="10"/>
        <color rgb="FF000000"/>
        <rFont val="微软雅黑"/>
        <family val="0"/>
        <charset val="1"/>
      </rPr>
      <t xml:space="preserve">v1 </t>
    </r>
    <r>
      <rPr>
        <sz val="10"/>
        <color rgb="FF000000"/>
        <rFont val="Noto Sans CJK SC"/>
        <family val="2"/>
      </rPr>
      <t xml:space="preserve">文件</t>
    </r>
    <r>
      <rPr>
        <sz val="10"/>
        <color rgb="FF000000"/>
        <rFont val="微软雅黑"/>
        <family val="0"/>
        <charset val="1"/>
      </rPr>
      <t xml:space="preserve">,</t>
    </r>
    <r>
      <rPr>
        <sz val="10"/>
        <color rgb="FF000000"/>
        <rFont val="Noto Sans CJK SC"/>
        <family val="2"/>
      </rPr>
      <t xml:space="preserve">核对命名</t>
    </r>
    <r>
      <rPr>
        <sz val="10"/>
        <color rgb="FF000000"/>
        <rFont val="微软雅黑"/>
        <family val="0"/>
        <charset val="1"/>
      </rPr>
      <t xml:space="preserve">(</t>
    </r>
    <r>
      <rPr>
        <sz val="10"/>
        <color rgb="FF000000"/>
        <rFont val="Noto Sans CJK SC"/>
        <family val="2"/>
      </rPr>
      <t xml:space="preserve">学号</t>
    </r>
    <r>
      <rPr>
        <sz val="10"/>
        <color rgb="FF000000"/>
        <rFont val="微软雅黑"/>
        <family val="0"/>
        <charset val="1"/>
      </rPr>
      <t xml:space="preserve">_</t>
    </r>
    <r>
      <rPr>
        <sz val="10"/>
        <color rgb="FF000000"/>
        <rFont val="Noto Sans CJK SC"/>
        <family val="2"/>
      </rPr>
      <t xml:space="preserve">编号</t>
    </r>
    <r>
      <rPr>
        <sz val="10"/>
        <color rgb="FF000000"/>
        <rFont val="微软雅黑"/>
        <family val="0"/>
        <charset val="1"/>
      </rPr>
      <t xml:space="preserve">_v1.xlsx)</t>
    </r>
    <r>
      <rPr>
        <sz val="10"/>
        <color rgb="FF000000"/>
        <rFont val="Noto Sans CJK SC"/>
        <family val="2"/>
      </rPr>
      <t xml:space="preserve">与条目数</t>
    </r>
    <r>
      <rPr>
        <sz val="10"/>
        <color rgb="FF000000"/>
        <rFont val="微软雅黑"/>
        <family val="0"/>
        <charset val="1"/>
      </rPr>
      <t xml:space="preserve">,</t>
    </r>
    <r>
      <rPr>
        <sz val="10"/>
        <color rgb="FF000000"/>
        <rFont val="Noto Sans CJK SC"/>
        <family val="2"/>
      </rPr>
      <t xml:space="preserve">统一提交给老师。</t>
    </r>
  </si>
  <si>
    <r>
      <rPr>
        <sz val="10"/>
        <color rgb="FF000000"/>
        <rFont val="微软雅黑"/>
        <family val="0"/>
        <charset val="1"/>
      </rPr>
      <t xml:space="preserve">4. </t>
    </r>
    <r>
      <rPr>
        <sz val="10"/>
        <color rgb="FF000000"/>
        <rFont val="Noto Sans CJK SC"/>
        <family val="2"/>
      </rPr>
      <t xml:space="preserve">校验报告下发后</t>
    </r>
    <r>
      <rPr>
        <sz val="10"/>
        <color rgb="FF000000"/>
        <rFont val="微软雅黑"/>
        <family val="0"/>
        <charset val="1"/>
      </rPr>
      <t xml:space="preserve">,</t>
    </r>
    <r>
      <rPr>
        <sz val="10"/>
        <color rgb="FF000000"/>
        <rFont val="Noto Sans CJK SC"/>
        <family val="2"/>
      </rPr>
      <t xml:space="preserve">跟踪组员 </t>
    </r>
    <r>
      <rPr>
        <sz val="10"/>
        <color rgb="FF000000"/>
        <rFont val="微软雅黑"/>
        <family val="0"/>
        <charset val="1"/>
      </rPr>
      <t xml:space="preserve">v2 </t>
    </r>
    <r>
      <rPr>
        <sz val="10"/>
        <color rgb="FF000000"/>
        <rFont val="Noto Sans CJK SC"/>
        <family val="2"/>
      </rPr>
      <t xml:space="preserve">修订完成情况并收齐提交。</t>
    </r>
  </si>
  <si>
    <r>
      <rPr>
        <sz val="10"/>
        <color rgb="FF000000"/>
        <rFont val="微软雅黑"/>
        <family val="0"/>
        <charset val="1"/>
      </rPr>
      <t xml:space="preserve">5. </t>
    </r>
    <r>
      <rPr>
        <sz val="10"/>
        <color rgb="FF000000"/>
        <rFont val="Noto Sans CJK SC"/>
        <family val="2"/>
      </rPr>
      <t xml:space="preserve">组员之间对「央地权限配置」等判断有分歧时</t>
    </r>
    <r>
      <rPr>
        <sz val="10"/>
        <color rgb="FF000000"/>
        <rFont val="微软雅黑"/>
        <family val="0"/>
        <charset val="1"/>
      </rPr>
      <t xml:space="preserve">,</t>
    </r>
    <r>
      <rPr>
        <sz val="10"/>
        <color rgb="FF000000"/>
        <rFont val="Noto Sans CJK SC"/>
        <family val="2"/>
      </rPr>
      <t xml:space="preserve">记录分歧点带到课堂讨论——分歧是素材</t>
    </r>
    <r>
      <rPr>
        <sz val="10"/>
        <color rgb="FF000000"/>
        <rFont val="微软雅黑"/>
        <family val="0"/>
        <charset val="1"/>
      </rPr>
      <t xml:space="preserve">,</t>
    </r>
    <r>
      <rPr>
        <sz val="10"/>
        <color rgb="FF000000"/>
        <rFont val="Noto Sans CJK SC"/>
        <family val="2"/>
      </rPr>
      <t xml:space="preserve">不是错误。</t>
    </r>
  </si>
  <si>
    <t xml:space="preserve">小组规范分配表(教师预分配,组长据此向组员分发)</t>
  </si>
  <si>
    <t xml:space="preserve">分配按工作量均衡:各组人均约23人条。「双人」=核心程度≥4星,须两名组员独立各做一遍。</t>
  </si>
  <si>
    <t xml:space="preserve">组别</t>
  </si>
  <si>
    <t xml:space="preserve">文件名称(全称)</t>
  </si>
  <si>
    <t xml:space="preserve">位阶</t>
  </si>
  <si>
    <t xml:space="preserve">核心程度</t>
  </si>
  <si>
    <t xml:space="preserve">预估条目</t>
  </si>
  <si>
    <t xml:space="preserve">双人任务</t>
  </si>
  <si>
    <t xml:space="preserve">组长分配给(编号,双人任务填两个)</t>
  </si>
  <si>
    <t xml:space="preserve">第1组</t>
  </si>
  <si>
    <t xml:space="preserve">中华人民共和国可再生能源法</t>
  </si>
  <si>
    <t xml:space="preserve">法律</t>
  </si>
  <si>
    <t xml:space="preserve">双人</t>
  </si>
  <si>
    <t xml:space="preserve">关于海上风电上网电价政策的通知</t>
  </si>
  <si>
    <t xml:space="preserve">政策文件</t>
  </si>
  <si>
    <t xml:space="preserve">关于深化新能源上网电价市场化改革 促进新能源高质量发展的通知</t>
  </si>
  <si>
    <t xml:space="preserve">中华人民共和国海岛保护法</t>
  </si>
  <si>
    <t xml:space="preserve">自然资源部办公厅 农业农村部办公厅关于优化养殖用海管理的通知</t>
  </si>
  <si>
    <t xml:space="preserve">自然资源部关于实施海砂采矿权和海域使用权“两权合一”招拍挂出让的通知</t>
  </si>
  <si>
    <t xml:space="preserve">关于促进新能源消纳和调控的指导意见</t>
  </si>
  <si>
    <t xml:space="preserve">中华人民共和国领海及毗连区法</t>
  </si>
  <si>
    <t xml:space="preserve">中华人民共和国海上交通安全法</t>
  </si>
  <si>
    <t xml:space="preserve">关于取消海洋石油（天然气）开采项目免税进口额度管理的通知</t>
  </si>
  <si>
    <t xml:space="preserve">中华人民共和国涉外海洋科学研究管理规定</t>
  </si>
  <si>
    <t xml:space="preserve">行政法规</t>
  </si>
  <si>
    <t xml:space="preserve">海洋生产总值核算制度</t>
  </si>
  <si>
    <t xml:space="preserve">国务院关于进一步加强海洋管理工作若干问题的通知</t>
  </si>
  <si>
    <t xml:space="preserve">国务院关于浙江省海洋功能区划(2011—2020年)的批复</t>
  </si>
  <si>
    <t xml:space="preserve">国务院关于广东省海洋功能区划(2011—2020年)的批复</t>
  </si>
  <si>
    <t xml:space="preserve">国务院关于浙江省海洋功能区划的批复</t>
  </si>
  <si>
    <t xml:space="preserve">第1组小计:16份文件,工作量231人条,人均23.1</t>
  </si>
  <si>
    <t xml:space="preserve">第2组</t>
  </si>
  <si>
    <t xml:space="preserve">海洋可再生能源资金项目实施管理细则（暂行）</t>
  </si>
  <si>
    <t xml:space="preserve">规范性文件</t>
  </si>
  <si>
    <t xml:space="preserve">自然资源部关于印发《临时用海管理办法》的通知</t>
  </si>
  <si>
    <t xml:space="preserve">防治海洋工程建设项目污染损害海洋环境管理条例</t>
  </si>
  <si>
    <t xml:space="preserve">海洋观测资料管理办法</t>
  </si>
  <si>
    <t xml:space="preserve">部门规章</t>
  </si>
  <si>
    <t xml:space="preserve">联合国海洋法公约</t>
  </si>
  <si>
    <t xml:space="preserve">保护海底电缆规定</t>
  </si>
  <si>
    <t xml:space="preserve">关于印发《调整海域 无居民海岛使用金征收标准》的通知</t>
  </si>
  <si>
    <t xml:space="preserve">中华人民共和国生态环境法典</t>
  </si>
  <si>
    <t xml:space="preserve">中华人民共和国矿产资源法</t>
  </si>
  <si>
    <t xml:space="preserve">关于印发《入海排污口监督管理办法（试行）》的通知</t>
  </si>
  <si>
    <t xml:space="preserve">国务院关于国土资源部《省级海洋功能区划审批办法》的批复</t>
  </si>
  <si>
    <t xml:space="preserve">中华人民共和国国民经济和社会发展第十五个五年规划纲要</t>
  </si>
  <si>
    <t xml:space="preserve">国务院关于山东省海洋功能区划(2011—2020年)的批复</t>
  </si>
  <si>
    <t xml:space="preserve">国务院关于河北省海洋功能区划(2011—2020年)的批复</t>
  </si>
  <si>
    <t xml:space="preserve">海洋局关于印发《海上船舶和平台志愿观测管理规定》的通知 海上船舶和平台志愿观测管理规定</t>
  </si>
  <si>
    <t xml:space="preserve">国务院关于福建省海洋功能区划的批复</t>
  </si>
  <si>
    <t xml:space="preserve">国务院关于山东省海洋功能区划的批复</t>
  </si>
  <si>
    <t xml:space="preserve">第2组小计:17份文件,工作量254人条,人均23.1</t>
  </si>
  <si>
    <t xml:space="preserve">第3组</t>
  </si>
  <si>
    <t xml:space="preserve">中华人民共和国海域使用管理法</t>
  </si>
  <si>
    <t xml:space="preserve">国家发展改革委 国家能源局关于印发《新型电力系统建设“十五五”规划》的通知</t>
  </si>
  <si>
    <t xml:space="preserve">中华人民共和国能源法</t>
  </si>
  <si>
    <t xml:space="preserve">关于印发《可再生能源发展“十五五”规划》的通知</t>
  </si>
  <si>
    <t xml:space="preserve">铺设海底电缆管道管理规定</t>
  </si>
  <si>
    <t xml:space="preserve">中华人民共和国对外合作开采海洋石油资源条例</t>
  </si>
  <si>
    <t xml:space="preserve">国家能源局关于促进新能源集成融合发展的指导意见</t>
  </si>
  <si>
    <t xml:space="preserve">自然资源部关于进一步做好用地用海要素保障的通知</t>
  </si>
  <si>
    <t xml:space="preserve">国务院关于“十四五”海洋经济发展规划的批复</t>
  </si>
  <si>
    <t xml:space="preserve">自然资源部办公厅关于印发《海洋经济统计调查制度》和《海洋生产总值核算制度》的通知</t>
  </si>
  <si>
    <t xml:space="preserve">自然资源部办公厅关于进一步加强海洋观测预报活动监管的通知</t>
  </si>
  <si>
    <t xml:space="preserve">国务院、中央军委批转国家海洋局等部门关于加强与外国合作进行海洋调查研究管理工作请示的通知</t>
  </si>
  <si>
    <t xml:space="preserve">自然资源部关于规范海域使用论证材料编制的通知</t>
  </si>
  <si>
    <t xml:space="preserve">国务院关于印发全国国土规划纲要（2016—2030年）的通知</t>
  </si>
  <si>
    <t xml:space="preserve">国务院关于同意申请国际海底矿区登记的批复</t>
  </si>
  <si>
    <t xml:space="preserve">国务院关于海南省海洋功能区划(2011—2020年)的批复</t>
  </si>
  <si>
    <t xml:space="preserve">国务院关于福建省海洋功能区划(2011—2020年)的批复</t>
  </si>
  <si>
    <t xml:space="preserve">国务院关于天津市海洋功能区划(2011—2020年)的批复</t>
  </si>
  <si>
    <t xml:space="preserve">国务院关于上海市海洋功能区划(2011—2020年)的批复</t>
  </si>
  <si>
    <t xml:space="preserve">国务院关于河北省海洋功能区划的批复</t>
  </si>
  <si>
    <t xml:space="preserve">国务院关于辽宁省海洋功能区划的批复</t>
  </si>
  <si>
    <t xml:space="preserve">第3组小计:21份文件,工作量253人条,人均23.0</t>
  </si>
  <si>
    <t xml:space="preserve">第4组</t>
  </si>
  <si>
    <t xml:space="preserve">关于推动海洋能规模化利用的指导意见</t>
  </si>
  <si>
    <t xml:space="preserve">国家发展改革委 国家能源局关于印发《新型能源体系建设“十五五”规划》的通知</t>
  </si>
  <si>
    <t xml:space="preserve">关于完善风电上网电价政策的通知</t>
  </si>
  <si>
    <t xml:space="preserve">自然资源部关于探索推进海域立体分层设权工作的通知</t>
  </si>
  <si>
    <t xml:space="preserve">海上风电开发建设管理办法</t>
  </si>
  <si>
    <t xml:space="preserve">海洋观测站点管理办法</t>
  </si>
  <si>
    <t xml:space="preserve">国务院关于国土资源部《报国务院批准的项目用海审批办法》的批复</t>
  </si>
  <si>
    <t xml:space="preserve">中华人民共和国专属经济区和大陆架法</t>
  </si>
  <si>
    <t xml:space="preserve">中华人民共和国深海海底区域资源勘探开发法</t>
  </si>
  <si>
    <t xml:space="preserve">自然资源部关于取消“海域使用论证单位资质认定”后加强事中事后监管的公告</t>
  </si>
  <si>
    <t xml:space="preserve">国务院、中央军委关于在南沙群岛建设海洋观测站的批复</t>
  </si>
  <si>
    <t xml:space="preserve">关于印发《海水淡化产业发展行动方案》的通知</t>
  </si>
  <si>
    <t xml:space="preserve">中华人民共和国节约能源法</t>
  </si>
  <si>
    <t xml:space="preserve">国务院关于江苏省海洋功能区划(2011—2020年)的批复</t>
  </si>
  <si>
    <t xml:space="preserve">国务院关于广西壮族自治区海洋功能区划的批复</t>
  </si>
  <si>
    <t xml:space="preserve">第4组小计:15份文件,工作量230人条,人均23.0</t>
  </si>
  <si>
    <t xml:space="preserve">第5组</t>
  </si>
  <si>
    <t xml:space="preserve">自然资源部关于进一步加强海上风电项目用海管理的通知</t>
  </si>
  <si>
    <t xml:space="preserve">国务院关于印发《“十五五”碳达峰行动方案》的通知</t>
  </si>
  <si>
    <t xml:space="preserve">自然资源部关于积极做好用地用海要素保障的通知</t>
  </si>
  <si>
    <t xml:space="preserve">海洋观测预报管理条例</t>
  </si>
  <si>
    <t xml:space="preserve">关于促进可再生能源绿色电力证书市场高质量发展的意见</t>
  </si>
  <si>
    <t xml:space="preserve">国务院关于印发全国海洋主体功能区规划的通知</t>
  </si>
  <si>
    <t xml:space="preserve">中华人民共和国电力法</t>
  </si>
  <si>
    <t xml:space="preserve">中华人民共和国政府关于在南海的领土主权和海洋权益的声明</t>
  </si>
  <si>
    <t xml:space="preserve">海洋经济统计调查制度</t>
  </si>
  <si>
    <t xml:space="preserve">国务院关于印发全国海洋经济发展规划纲要的通知</t>
  </si>
  <si>
    <t xml:space="preserve">国务院关于印发全国海洋经济发展“十二五”规划的通知</t>
  </si>
  <si>
    <t xml:space="preserve">中华人民共和国国家发展规划法</t>
  </si>
  <si>
    <t xml:space="preserve">国务院关于广西壮族自治区海洋功能区划(2011—2020年)的批复</t>
  </si>
  <si>
    <t xml:space="preserve">国务院关于辽宁省海洋功能区划(2011—2020年)的批复</t>
  </si>
  <si>
    <t xml:space="preserve">国务院关于江苏省海洋功能区划的批复</t>
  </si>
  <si>
    <t xml:space="preserve">国务院关于海南省海洋功能区划的批复</t>
  </si>
  <si>
    <t xml:space="preserve">第5组小计:16份文件,工作量230人条,人均23.0</t>
  </si>
  <si>
    <t xml:space="preserve">检索指引:到哪里核实原文</t>
  </si>
  <si>
    <t xml:space="preserve">「核实来源」栏只能填下表的权威来源。商业库可用于找线索,最终必须以官方文本核对。</t>
  </si>
  <si>
    <t xml:space="preserve">首选权威来源</t>
  </si>
  <si>
    <t xml:space="preserve">核对要点</t>
  </si>
  <si>
    <t xml:space="preserve">国家法律法规数据库(flk.npc.gov.cn)</t>
  </si>
  <si>
    <t xml:space="preserve">注意查「现行有效」版本;修订过的法律核对修正案年份</t>
  </si>
  <si>
    <t xml:space="preserve">国家法律法规数据库 / 国家行政法规数据库 / 中国政府网国务院公报</t>
  </si>
  <si>
    <t xml:space="preserve">以国务院令文号核对版本</t>
  </si>
  <si>
    <t xml:space="preserve">国家法律法规数据库 / 发布机关官网</t>
  </si>
  <si>
    <t xml:space="preserve">机构改革前的规章注意现管辖机关</t>
  </si>
  <si>
    <t xml:space="preserve">发布机关官网(自然资源部、国家能源局、国家发展改革委、财政部等)</t>
  </si>
  <si>
    <t xml:space="preserve">以官网「政策文件库」检索文号</t>
  </si>
  <si>
    <t xml:space="preserve">发布机关官网 / 中国政府网</t>
  </si>
  <si>
    <t xml:space="preserve">规划类文件核对印发通知的文号与日期</t>
  </si>
  <si>
    <t xml:space="preserve">四步工作流</t>
  </si>
  <si>
    <t xml:space="preserve">① 在【小组规范分配】找到你领到的文件与预估条目数;</t>
  </si>
  <si>
    <t xml:space="preserve">② 按上表进入对应权威来源,检索并打开文件原文;</t>
  </si>
  <si>
    <t xml:space="preserve">③ 核对文号、公布/施行日期、效力状态与老师发布的规范清单一致——不一致的以权威库为准并写入备注;</t>
  </si>
  <si>
    <t xml:space="preserve">④ 逐条录入,「核实来源」填你实际使用的权威库。AI 与搜索引擎只能当线索,不能当来源。</t>
  </si>
  <si>
    <t xml:space="preserve">认领登记(填完再开始录入)</t>
  </si>
  <si>
    <t xml:space="preserve">文件分配以【小组规范分配】为准,由组长分发;你只需登记领到的文件。</t>
  </si>
  <si>
    <t xml:space="preserve">编号(S##)</t>
  </si>
  <si>
    <t xml:space="preserve">组别(见【分组与任务】)</t>
  </si>
  <si>
    <t xml:space="preserve">组长编号</t>
  </si>
  <si>
    <t xml:space="preserve">从组长处领到的规范文件(逐一列出)</t>
  </si>
  <si>
    <t xml:space="preserve">其中双人任务文件(注明另一认领人编号)</t>
  </si>
  <si>
    <t xml:space="preserve">目标条目数</t>
  </si>
  <si>
    <r>
      <rPr>
        <b val="true"/>
        <sz val="10"/>
        <color rgb="FF000000"/>
        <rFont val="微软雅黑"/>
        <family val="0"/>
        <charset val="1"/>
      </rPr>
      <t xml:space="preserve">v1 </t>
    </r>
    <r>
      <rPr>
        <b val="true"/>
        <sz val="10"/>
        <color rgb="FF000000"/>
        <rFont val="Noto Sans CJK SC"/>
        <family val="2"/>
      </rPr>
      <t xml:space="preserve">提交日期</t>
    </r>
  </si>
  <si>
    <r>
      <rPr>
        <b val="true"/>
        <sz val="10"/>
        <color rgb="FF000000"/>
        <rFont val="微软雅黑"/>
        <family val="0"/>
        <charset val="1"/>
      </rPr>
      <t xml:space="preserve">v2 </t>
    </r>
    <r>
      <rPr>
        <b val="true"/>
        <sz val="10"/>
        <color rgb="FF000000"/>
        <rFont val="Noto Sans CJK SC"/>
        <family val="2"/>
      </rPr>
      <t xml:space="preserve">提交日期</t>
    </r>
  </si>
  <si>
    <t xml:space="preserve">组内分工核对表(组长填写)</t>
  </si>
  <si>
    <t xml:space="preserve">认领主题</t>
  </si>
  <si>
    <t xml:space="preserve">认领位阶</t>
  </si>
  <si>
    <t xml:space="preserve">认领文件</t>
  </si>
  <si>
    <t xml:space="preserve">条目数</t>
  </si>
  <si>
    <t xml:space="preserve">海洋能源法规范数据录入表 v2.3(国家层)</t>
  </si>
  <si>
    <t xml:space="preserve">深蓝=必填 绿=五要素 紫=央地字段 浅蓝=选填 灰=自动生成勿填 | 本班任务:制定区域填「国家」,央地权限配置必填,地方自主权类型留空 | 切勿使用剪切(Ctrl+X)</t>
  </si>
  <si>
    <t xml:space="preserve">学号:</t>
  </si>
  <si>
    <t xml:space="preserve">编号:</t>
  </si>
  <si>
    <t xml:space="preserve">已填条目:</t>
  </si>
  <si>
    <t xml:space="preserve">通过校验:</t>
  </si>
  <si>
    <t xml:space="preserve">待修正:</t>
  </si>
  <si>
    <t xml:space="preserve">填好学号与编号后,条目ID列与录入人列自动生成</t>
  </si>
  <si>
    <t xml:space="preserve">条目ID(自动)</t>
  </si>
  <si>
    <t xml:space="preserve">文号</t>
  </si>
  <si>
    <t xml:space="preserve">制定区域</t>
  </si>
  <si>
    <t xml:space="preserve">发布机关/牵头机关</t>
  </si>
  <si>
    <t xml:space="preserve">公布日期</t>
  </si>
  <si>
    <t xml:space="preserve">施行日期</t>
  </si>
  <si>
    <t xml:space="preserve">效力状态</t>
  </si>
  <si>
    <t xml:space="preserve">失效或修订日期</t>
  </si>
  <si>
    <t xml:space="preserve">主题标签(主)</t>
  </si>
  <si>
    <t xml:space="preserve">主题标签(次)</t>
  </si>
  <si>
    <t xml:space="preserve">条文定位</t>
  </si>
  <si>
    <t xml:space="preserve">①规范主体</t>
  </si>
  <si>
    <t xml:space="preserve">②适用条件</t>
  </si>
  <si>
    <t xml:space="preserve">③行为模式类型</t>
  </si>
  <si>
    <t xml:space="preserve">④行为模式内容</t>
  </si>
  <si>
    <t xml:space="preserve">⑤法律后果</t>
  </si>
  <si>
    <t xml:space="preserve">原文摘录</t>
  </si>
  <si>
    <t xml:space="preserve">关联条目</t>
  </si>
  <si>
    <t xml:space="preserve">央地权限配置</t>
  </si>
  <si>
    <t xml:space="preserve">地方自主权类型</t>
  </si>
  <si>
    <t xml:space="preserve">核实来源</t>
  </si>
  <si>
    <t xml:space="preserve">录入人(自动)</t>
  </si>
  <si>
    <t xml:space="preserve">版本</t>
  </si>
  <si>
    <t xml:space="preserve">录入日期</t>
  </si>
  <si>
    <t xml:space="preserve">备注</t>
  </si>
  <si>
    <t xml:space="preserve">自检结果(自动)</t>
  </si>
  <si>
    <t xml:space="preserve">五条范例:满分 / 典型错误 / 边界情况 / 指导性 / 地方层示意</t>
  </si>
  <si>
    <t xml:space="preserve">红行藏着十余处错误,先自己找一遍。范例条文编号仅供格式参考,自己录入时必须回权威数据库核实。</t>
  </si>
  <si>
    <t xml:space="preserve">S07-001</t>
  </si>
  <si>
    <t xml:space="preserve">主席令第六十一号</t>
  </si>
  <si>
    <t xml:space="preserve">国家</t>
  </si>
  <si>
    <t xml:space="preserve">全国人大及其常委会</t>
  </si>
  <si>
    <t xml:space="preserve">2001-10-27</t>
  </si>
  <si>
    <t xml:space="preserve">2002-01-01</t>
  </si>
  <si>
    <t xml:space="preserve">现行有效</t>
  </si>
  <si>
    <t xml:space="preserve">海洋空间与用海管理</t>
  </si>
  <si>
    <t xml:space="preserve">第十六条第一款</t>
  </si>
  <si>
    <t xml:space="preserve">单位和个人(海域使用申请人)</t>
  </si>
  <si>
    <t xml:space="preserve">拟使用未确定使用权的海域</t>
  </si>
  <si>
    <t xml:space="preserve">程序性</t>
  </si>
  <si>
    <t xml:space="preserve">向县级以上人民政府海洋行政主管部门提出用海申请,并提交规定的申请材料</t>
  </si>
  <si>
    <t xml:space="preserve">本条未设</t>
  </si>
  <si>
    <t xml:space="preserve">【核实后填入不超过200字的原文】</t>
  </si>
  <si>
    <t xml:space="preserve">S07-004</t>
  </si>
  <si>
    <t xml:space="preserve">统一执行</t>
  </si>
  <si>
    <t xml:space="preserve">国家法律法规数据库</t>
  </si>
  <si>
    <t xml:space="preserve">2XXXXXXXXX S07</t>
  </si>
  <si>
    <t xml:space="preserve">v1</t>
  </si>
  <si>
    <t xml:space="preserve">2026-09-10</t>
  </si>
  <si>
    <t xml:space="preserve">满分示范:五要素齐全;县级以上地方机关是执行主体而非规定权主体→统一执行</t>
  </si>
  <si>
    <t xml:space="preserve">s7-2</t>
  </si>
  <si>
    <t xml:space="preserve">《海域法》</t>
  </si>
  <si>
    <t xml:space="preserve">国家海洋局</t>
  </si>
  <si>
    <t xml:space="preserve">2002</t>
  </si>
  <si>
    <t xml:space="preserve">海洋空间与用海管理、规划与区划</t>
  </si>
  <si>
    <t xml:space="preserve">第十六条</t>
  </si>
  <si>
    <t xml:space="preserve">/</t>
  </si>
  <si>
    <t xml:space="preserve">义务性</t>
  </si>
  <si>
    <t xml:space="preserve">单位和个人使用海域,必须依法取得海域使用权(直接复制原文)</t>
  </si>
  <si>
    <t xml:space="preserve">【整条原文800字全部粘贴】</t>
  </si>
  <si>
    <r>
      <rPr>
        <sz val="9"/>
        <color rgb="FF000000"/>
        <rFont val="微软雅黑"/>
        <family val="0"/>
        <charset val="1"/>
      </rPr>
      <t xml:space="preserve">S07-4</t>
    </r>
    <r>
      <rPr>
        <sz val="9"/>
        <color rgb="FF000000"/>
        <rFont val="Noto Sans CJK SC"/>
        <family val="2"/>
      </rPr>
      <t xml:space="preserve">、</t>
    </r>
    <r>
      <rPr>
        <sz val="9"/>
        <color rgb="FF000000"/>
        <rFont val="微软雅黑"/>
        <family val="0"/>
        <charset val="1"/>
      </rPr>
      <t xml:space="preserve">S07-5</t>
    </r>
  </si>
  <si>
    <t xml:space="preserve">执行性</t>
  </si>
  <si>
    <t xml:space="preserve">豆包</t>
  </si>
  <si>
    <t xml:space="preserve">张三</t>
  </si>
  <si>
    <t xml:space="preserve">错误示范:ID格式/简称/漏区域/机关错不注沿革/日期不完整/主标签多选/次=主/定位未到款/主体泛化/复制原文/漏央地配置/误填地方类型/来源填AI/漏版本</t>
  </si>
  <si>
    <t xml:space="preserve">S07-002</t>
  </si>
  <si>
    <t xml:space="preserve">中华人民共和国可再生能源法(2005年版)</t>
  </si>
  <si>
    <t xml:space="preserve">主席令第二十三号</t>
  </si>
  <si>
    <t xml:space="preserve">2005-02-28</t>
  </si>
  <si>
    <t xml:space="preserve">2006-01-01</t>
  </si>
  <si>
    <t xml:space="preserve">已修订</t>
  </si>
  <si>
    <t xml:space="preserve">2009-12-26</t>
  </si>
  <si>
    <t xml:space="preserve">海洋可再生能源</t>
  </si>
  <si>
    <t xml:space="preserve">价格、财税与市场机制</t>
  </si>
  <si>
    <t xml:space="preserve">第十四条</t>
  </si>
  <si>
    <t xml:space="preserve">电网企业</t>
  </si>
  <si>
    <t xml:space="preserve">可再生能源发电项目已依法取得行政许可并接入电网</t>
  </si>
  <si>
    <t xml:space="preserve">全额收购其电网覆盖范围内可再生能源并网发电项目的上网电量</t>
  </si>
  <si>
    <t xml:space="preserve">未履行收购义务造成损失的应当承担赔偿责任</t>
  </si>
  <si>
    <t xml:space="preserve">S07-003</t>
  </si>
  <si>
    <t xml:space="preserve">未作规定</t>
  </si>
  <si>
    <t xml:space="preserve">边界情况:已修订须注现行版本;规范对象是电网企业,对地方权限沉默→未作规定(与ex1的统一执行对比)</t>
  </si>
  <si>
    <t xml:space="preserve">自然资发〔2025〕34号</t>
  </si>
  <si>
    <t xml:space="preserve">自然资源部</t>
  </si>
  <si>
    <t xml:space="preserve">2025-02-05</t>
  </si>
  <si>
    <t xml:space="preserve">规划与区划</t>
  </si>
  <si>
    <t xml:space="preserve">第二部分第1段</t>
  </si>
  <si>
    <t xml:space="preserve">沿海地方政府及海洋能开发企业(抽象对象)</t>
  </si>
  <si>
    <t xml:space="preserve">一般情形</t>
  </si>
  <si>
    <t xml:space="preserve">指导性</t>
  </si>
  <si>
    <t xml:space="preserve">鼓励因地制宜开展潮流能、波浪能示范工程,探索海洋能与海上风电协同开发(方向性倡导,以核实原文为准)</t>
  </si>
  <si>
    <t xml:space="preserve">因地制宜</t>
  </si>
  <si>
    <t xml:space="preserve">发布机关官网</t>
  </si>
  <si>
    <t xml:space="preserve">指导性示范:政策文件按「第X部分第X段」定位;「鼓励因地制宜」→央地配置=因地制宜,与指导性高频共现</t>
  </si>
  <si>
    <t xml:space="preserve">L45-001</t>
  </si>
  <si>
    <t xml:space="preserve">【示意】某沿海省海上风电项目竞争配置管理办法</t>
  </si>
  <si>
    <r>
      <rPr>
        <sz val="9"/>
        <color rgb="FF000000"/>
        <rFont val="微软雅黑"/>
        <family val="0"/>
        <charset val="1"/>
      </rPr>
      <t xml:space="preserve">(</t>
    </r>
    <r>
      <rPr>
        <sz val="9"/>
        <color rgb="FF000000"/>
        <rFont val="Noto Sans CJK SC"/>
        <family val="2"/>
      </rPr>
      <t xml:space="preserve">待核实</t>
    </r>
    <r>
      <rPr>
        <sz val="9"/>
        <color rgb="FF000000"/>
        <rFont val="微软雅黑"/>
        <family val="0"/>
        <charset val="1"/>
      </rPr>
      <t xml:space="preserve">)</t>
    </r>
  </si>
  <si>
    <t xml:space="preserve">地方立法</t>
  </si>
  <si>
    <t xml:space="preserve">广西</t>
  </si>
  <si>
    <t xml:space="preserve">省级主管部门</t>
  </si>
  <si>
    <t xml:space="preserve">第八条第二款</t>
  </si>
  <si>
    <t xml:space="preserve">省能源主管部门</t>
  </si>
  <si>
    <t xml:space="preserve">组织年度海上风电项目竞争配置</t>
  </si>
  <si>
    <t xml:space="preserve">将上网电价报价纳入竞争配置评分因素并设定权重(示意表述)</t>
  </si>
  <si>
    <t xml:space="preserve">【地方层启动后核实填入】</t>
  </si>
  <si>
    <t xml:space="preserve">细化性</t>
  </si>
  <si>
    <r>
      <rPr>
        <sz val="9"/>
        <color rgb="FF000000"/>
        <rFont val="微软雅黑"/>
        <family val="0"/>
        <charset val="1"/>
      </rPr>
      <t xml:space="preserve">(</t>
    </r>
    <r>
      <rPr>
        <sz val="9"/>
        <color rgb="FF000000"/>
        <rFont val="Noto Sans CJK SC"/>
        <family val="2"/>
      </rPr>
      <t xml:space="preserve">地方层学生</t>
    </r>
    <r>
      <rPr>
        <sz val="9"/>
        <color rgb="FF000000"/>
        <rFont val="微软雅黑"/>
        <family val="0"/>
        <charset val="1"/>
      </rPr>
      <t xml:space="preserve">)</t>
    </r>
  </si>
  <si>
    <t xml:space="preserve">地方层格式示意(内容虚构):本班不填此类;地方层条目ID用L前缀,央地配置留空、自主权类型必填</t>
  </si>
  <si>
    <t xml:space="preserve">绿=满分 红=错误 黄=边界 蓝=指导性 紫=地方层示意。讲央地字段时用绿行(统一执行)与黄行(未作规定)对比。</t>
  </si>
  <si>
    <t xml:space="preserve">常见问题(先看这里,再问老师)</t>
  </si>
  <si>
    <t xml:space="preserve">问题</t>
  </si>
  <si>
    <t xml:space="preserve">解答</t>
  </si>
  <si>
    <t xml:space="preserve">一个条文里有好几款,算一条还是几条?</t>
  </si>
  <si>
    <t xml:space="preserve">按「款」拆,一款一条。某款下各项主体不同的,拆到项。判断标准:五要素能不能填满——填不满就是拆得不够细。</t>
  </si>
  <si>
    <t xml:space="preserve">条文里没写「适用条件」怎么办?</t>
  </si>
  <si>
    <t xml:space="preserve">填「一般情形」。不要留空,留空会被自检拦下。</t>
  </si>
  <si>
    <t xml:space="preserve">原则性条款(「国家鼓励……」)也要录吗?</t>
  </si>
  <si>
    <t xml:space="preserve">要。行为模式类型多为「指导性」或「授权性」,法律后果填「本条未设」。这类条款在智能体回答政策方向类问题时很有用。</t>
  </si>
  <si>
    <t xml:space="preserve">「指导性」和「义务性」怎么区分?都有「应当」。</t>
  </si>
  <si>
    <t xml:space="preserve">看有没有可直接执行的具体行为和明确对象。「电网企业应当全额收购上网电量」=对象具体、行为可执行→义务性;「应当积极推动海洋能规模化利用」=对象抽象、无从执行→指导性。</t>
  </si>
  <si>
    <t xml:space="preserve">「央地权限配置」我拿不准怎么办?</t>
  </si>
  <si>
    <t xml:space="preserve">最常见的坑:条文让县级以上地方部门受理、审批,这是地方当「执行主体」,配置仍是「统一执行」;只有条文授权地方「制定办法/规定/标准」才是「授权细化」。仍拿不准的,选你认为最接近的并在备注写明理由——这一栏的分歧本身就是课堂讨论素材。</t>
  </si>
  <si>
    <t xml:space="preserve">为什么我不填「地方自主权类型」?</t>
  </si>
  <si>
    <t xml:space="preserve">那是地方层班级的字段。本班做国家层,制定区域填「国家」,该栏必须留空,自检会检查。</t>
  </si>
  <si>
    <t xml:space="preserve">找到的文件已经废止了,还要录吗?</t>
  </si>
  <si>
    <t xml:space="preserve">要,状态标「已废止」并填失效日期,备注写明被什么文件取代。废止文件是制度演进的证据。</t>
  </si>
  <si>
    <t xml:space="preserve">同一部法在不同数据库版本不一样怎么办?</t>
  </si>
  <si>
    <t xml:space="preserve">以国家法律法规数据库或发布机关官网为准,备注注明分歧。</t>
  </si>
  <si>
    <t xml:space="preserve">可以用 AI 帮我拆解条文吗?</t>
  </si>
  <si>
    <t xml:space="preserve">可以辅助理解和检查,但不能直接采信。AI 拆出的结果必须逐项对照原文核验,「核实来源」栏绝不能填 AI 工具名。</t>
  </si>
  <si>
    <t xml:space="preserve">我是双人任务(≥4星规范)的其中一人,怎么做?</t>
  </si>
  <si>
    <t xml:space="preserve">两人独立各做一遍,不商量、不互抄,各自提交。老师比对差异——差异不是错误,是课堂讨论素材;互抄才是问题。</t>
  </si>
  <si>
    <t xml:space="preserve">下拉列表里没有我需要的发布机关?</t>
  </si>
  <si>
    <t xml:space="preserve">选「其他」,备注写明全称。不要手工改词表。</t>
  </si>
  <si>
    <t xml:space="preserve">自检一直报错但看不出问题?</t>
  </si>
  <si>
    <t xml:space="preserve">最常见三种:日期是文本格式(单元格左对齐即文本)、条文定位漏「条/段」字、五要素某格是空格不是内容。</t>
  </si>
  <si>
    <t xml:space="preserve">提交后还能改吗?</t>
  </si>
  <si>
    <r>
      <rPr>
        <sz val="10"/>
        <color rgb="FF000000"/>
        <rFont val="微软雅黑"/>
        <family val="0"/>
        <charset val="1"/>
      </rPr>
      <t xml:space="preserve">v1 </t>
    </r>
    <r>
      <rPr>
        <sz val="10"/>
        <color rgb="FF000000"/>
        <rFont val="Noto Sans CJK SC"/>
        <family val="2"/>
      </rPr>
      <t xml:space="preserve">提交后统一收校验反馈</t>
    </r>
    <r>
      <rPr>
        <sz val="10"/>
        <color rgb="FF000000"/>
        <rFont val="微软雅黑"/>
        <family val="0"/>
        <charset val="1"/>
      </rPr>
      <t xml:space="preserve">,</t>
    </r>
    <r>
      <rPr>
        <sz val="10"/>
        <color rgb="FF000000"/>
        <rFont val="Noto Sans CJK SC"/>
        <family val="2"/>
      </rPr>
      <t xml:space="preserve">修订成 </t>
    </r>
    <r>
      <rPr>
        <sz val="10"/>
        <color rgb="FF000000"/>
        <rFont val="微软雅黑"/>
        <family val="0"/>
        <charset val="1"/>
      </rPr>
      <t xml:space="preserve">v2 </t>
    </r>
    <r>
      <rPr>
        <sz val="10"/>
        <color rgb="FF000000"/>
        <rFont val="Noto Sans CJK SC"/>
        <family val="2"/>
      </rPr>
      <t xml:space="preserve">再交。不要私改已提交的 </t>
    </r>
    <r>
      <rPr>
        <sz val="10"/>
        <color rgb="FF000000"/>
        <rFont val="微软雅黑"/>
        <family val="0"/>
        <charset val="1"/>
      </rPr>
      <t xml:space="preserve">v1,</t>
    </r>
    <r>
      <rPr>
        <sz val="10"/>
        <color rgb="FF000000"/>
        <rFont val="Noto Sans CJK SC"/>
        <family val="2"/>
      </rPr>
      <t xml:space="preserve">版本混乱导致成绩无法核对。</t>
    </r>
  </si>
  <si>
    <t xml:space="preserve">条目ID和录入人为什么不能填?</t>
  </si>
  <si>
    <t xml:space="preserve">这两列自动生成:在顶栏填好学号和编号即可。这样全班ID格式绝对统一,机器合并时不出错。</t>
  </si>
  <si>
    <t xml:space="preserve">自检结果显示⚠公式受损怎么办?</t>
  </si>
  <si>
    <t xml:space="preserve">多半是用了剪切(Ctrl+X)。之后请用复制+粘贴+删除原处的方式整理内容,并把文件发给老师修复该行公式。</t>
  </si>
  <si>
    <t xml:space="preserve">条文定位用中文数字还是阿拉伯数字?</t>
  </si>
  <si>
    <t xml:space="preserve">统一阿拉伯数字:第16条第1款第2项。需要更细时允许「第X句」。政策文件用「第X部分第X段」。</t>
  </si>
  <si>
    <t xml:space="preserve">我的数据会被公开吗?</t>
  </si>
  <si>
    <t xml:space="preserve">课程语料计划脱敏后开源发布,署名方式与是否参与由你自主选择,开学第一课发授权同意书,可随时退出。</t>
  </si>
  <si>
    <r>
      <rPr>
        <b val="true"/>
        <sz val="10"/>
        <rFont val="Noto Sans CJK SC"/>
        <family val="2"/>
      </rPr>
      <t xml:space="preserve">条文没有写明规范主体怎么办</t>
    </r>
    <r>
      <rPr>
        <b val="true"/>
        <sz val="10"/>
        <rFont val="微软雅黑"/>
        <family val="0"/>
        <charset val="1"/>
      </rPr>
      <t xml:space="preserve">?</t>
    </r>
  </si>
  <si>
    <r>
      <rPr>
        <sz val="10"/>
        <rFont val="Noto Sans CJK SC"/>
        <family val="2"/>
      </rPr>
      <t xml:space="preserve">很多规范不直接写谁要遵守。方法</t>
    </r>
    <r>
      <rPr>
        <sz val="10"/>
        <rFont val="微软雅黑"/>
        <family val="0"/>
        <charset val="1"/>
      </rPr>
      <t xml:space="preserve">:</t>
    </r>
    <r>
      <rPr>
        <sz val="10"/>
        <rFont val="Noto Sans CJK SC"/>
        <family val="2"/>
      </rPr>
      <t xml:space="preserve">看条文所在章节</t>
    </r>
    <r>
      <rPr>
        <sz val="10"/>
        <rFont val="微软雅黑"/>
        <family val="0"/>
        <charset val="1"/>
      </rPr>
      <t xml:space="preserve">(</t>
    </r>
    <r>
      <rPr>
        <sz val="10"/>
        <rFont val="Noto Sans CJK SC"/>
        <family val="2"/>
      </rPr>
      <t xml:space="preserve">总则</t>
    </r>
    <r>
      <rPr>
        <sz val="10"/>
        <rFont val="微软雅黑"/>
        <family val="0"/>
        <charset val="1"/>
      </rPr>
      <t xml:space="preserve">/</t>
    </r>
    <r>
      <rPr>
        <sz val="10"/>
        <rFont val="Noto Sans CJK SC"/>
        <family val="2"/>
      </rPr>
      <t xml:space="preserve">监督管理</t>
    </r>
    <r>
      <rPr>
        <sz val="10"/>
        <rFont val="微软雅黑"/>
        <family val="0"/>
        <charset val="1"/>
      </rPr>
      <t xml:space="preserve">/</t>
    </r>
    <r>
      <rPr>
        <sz val="10"/>
        <rFont val="Noto Sans CJK SC"/>
        <family val="2"/>
      </rPr>
      <t xml:space="preserve">法律责任各有典型主体</t>
    </r>
    <r>
      <rPr>
        <sz val="10"/>
        <rFont val="微软雅黑"/>
        <family val="0"/>
        <charset val="1"/>
      </rPr>
      <t xml:space="preserve">)</t>
    </r>
    <r>
      <rPr>
        <sz val="10"/>
        <rFont val="Noto Sans CJK SC"/>
        <family val="2"/>
      </rPr>
      <t xml:space="preserve">、看前后条文的主语、看罚则指向谁、查权威释义。推断出的主体照常填写</t>
    </r>
    <r>
      <rPr>
        <sz val="10"/>
        <rFont val="微软雅黑"/>
        <family val="0"/>
        <charset val="1"/>
      </rPr>
      <t xml:space="preserve">,</t>
    </r>
    <r>
      <rPr>
        <sz val="10"/>
        <rFont val="Noto Sans CJK SC"/>
        <family val="2"/>
      </rPr>
      <t xml:space="preserve">备注注明推断依据——这个推断过程本身就是法律解释训练。</t>
    </r>
  </si>
  <si>
    <r>
      <rPr>
        <b val="true"/>
        <sz val="10"/>
        <rFont val="Noto Sans CJK SC"/>
        <family val="2"/>
      </rPr>
      <t xml:space="preserve">一句原文包含两种不同性质的行为怎么办</t>
    </r>
    <r>
      <rPr>
        <b val="true"/>
        <sz val="10"/>
        <rFont val="微软雅黑"/>
        <family val="0"/>
        <charset val="1"/>
      </rPr>
      <t xml:space="preserve">?</t>
    </r>
  </si>
  <si>
    <r>
      <rPr>
        <sz val="10"/>
        <rFont val="Noto Sans CJK SC"/>
        <family val="2"/>
      </rPr>
      <t xml:space="preserve">拆成两条</t>
    </r>
    <r>
      <rPr>
        <sz val="10"/>
        <rFont val="微软雅黑"/>
        <family val="0"/>
        <charset val="1"/>
      </rPr>
      <t xml:space="preserve">:</t>
    </r>
    <r>
      <rPr>
        <sz val="10"/>
        <rFont val="Noto Sans CJK SC"/>
        <family val="2"/>
      </rPr>
      <t xml:space="preserve">条目</t>
    </r>
    <r>
      <rPr>
        <sz val="10"/>
        <rFont val="微软雅黑"/>
        <family val="0"/>
        <charset val="1"/>
      </rPr>
      <t xml:space="preserve">ID</t>
    </r>
    <r>
      <rPr>
        <sz val="10"/>
        <rFont val="Noto Sans CJK SC"/>
        <family val="2"/>
      </rPr>
      <t xml:space="preserve">不同、条文定位相同</t>
    </r>
    <r>
      <rPr>
        <sz val="10"/>
        <rFont val="微软雅黑"/>
        <family val="0"/>
        <charset val="1"/>
      </rPr>
      <t xml:space="preserve">,</t>
    </r>
    <r>
      <rPr>
        <sz val="10"/>
        <rFont val="Noto Sans CJK SC"/>
        <family val="2"/>
      </rPr>
      <t xml:space="preserve">行为模式各自概括</t>
    </r>
    <r>
      <rPr>
        <sz val="10"/>
        <rFont val="微软雅黑"/>
        <family val="0"/>
        <charset val="1"/>
      </rPr>
      <t xml:space="preserve">,</t>
    </r>
    <r>
      <rPr>
        <sz val="10"/>
        <rFont val="Noto Sans CJK SC"/>
        <family val="2"/>
      </rPr>
      <t xml:space="preserve">备注注明「一文多义拆分」及理由。校验脚本对这种情况提醒而不判错。</t>
    </r>
  </si>
  <si>
    <r>
      <rPr>
        <b val="true"/>
        <sz val="10"/>
        <rFont val="Noto Sans CJK SC"/>
        <family val="2"/>
      </rPr>
      <t xml:space="preserve">我把自检公式弄坏了</t>
    </r>
    <r>
      <rPr>
        <b val="true"/>
        <sz val="10"/>
        <rFont val="微软雅黑"/>
        <family val="0"/>
        <charset val="1"/>
      </rPr>
      <t xml:space="preserve">(</t>
    </r>
    <r>
      <rPr>
        <b val="true"/>
        <sz val="10"/>
        <rFont val="Noto Sans CJK SC"/>
        <family val="2"/>
      </rPr>
      <t xml:space="preserve">显示⚠</t>
    </r>
    <r>
      <rPr>
        <b val="true"/>
        <sz val="10"/>
        <rFont val="微软雅黑"/>
        <family val="0"/>
        <charset val="1"/>
      </rPr>
      <t xml:space="preserve">)</t>
    </r>
    <r>
      <rPr>
        <b val="true"/>
        <sz val="10"/>
        <rFont val="Noto Sans CJK SC"/>
        <family val="2"/>
      </rPr>
      <t xml:space="preserve">怎么办</t>
    </r>
    <r>
      <rPr>
        <b val="true"/>
        <sz val="10"/>
        <rFont val="微软雅黑"/>
        <family val="0"/>
        <charset val="1"/>
      </rPr>
      <t xml:space="preserve">?</t>
    </r>
  </si>
  <si>
    <r>
      <rPr>
        <sz val="10"/>
        <rFont val="Noto Sans CJK SC"/>
        <family val="2"/>
      </rPr>
      <t xml:space="preserve">数据不受影响</t>
    </r>
    <r>
      <rPr>
        <sz val="10"/>
        <rFont val="微软雅黑"/>
        <family val="0"/>
        <charset val="1"/>
      </rPr>
      <t xml:space="preserve">,</t>
    </r>
    <r>
      <rPr>
        <sz val="10"/>
        <rFont val="Noto Sans CJK SC"/>
        <family val="2"/>
      </rPr>
      <t xml:space="preserve">继续填写其余行即可。修复三步</t>
    </r>
    <r>
      <rPr>
        <sz val="10"/>
        <rFont val="微软雅黑"/>
        <family val="0"/>
        <charset val="1"/>
      </rPr>
      <t xml:space="preserve">(</t>
    </r>
    <r>
      <rPr>
        <sz val="10"/>
        <rFont val="Noto Sans CJK SC"/>
        <family val="2"/>
      </rPr>
      <t xml:space="preserve">可请老师做</t>
    </r>
    <r>
      <rPr>
        <sz val="10"/>
        <rFont val="微软雅黑"/>
        <family val="0"/>
        <charset val="1"/>
      </rPr>
      <t xml:space="preserve">):①</t>
    </r>
    <r>
      <rPr>
        <sz val="10"/>
        <rFont val="Noto Sans CJK SC"/>
        <family val="2"/>
      </rPr>
      <t xml:space="preserve">审阅→撤销工作表保护</t>
    </r>
    <r>
      <rPr>
        <sz val="10"/>
        <rFont val="微软雅黑"/>
        <family val="0"/>
        <charset val="1"/>
      </rPr>
      <t xml:space="preserve">;②</t>
    </r>
    <r>
      <rPr>
        <sz val="10"/>
        <rFont val="Noto Sans CJK SC"/>
        <family val="2"/>
      </rPr>
      <t xml:space="preserve">复制任意完好行的自检单元格</t>
    </r>
    <r>
      <rPr>
        <sz val="10"/>
        <rFont val="微软雅黑"/>
        <family val="0"/>
        <charset val="1"/>
      </rPr>
      <t xml:space="preserve">,</t>
    </r>
    <r>
      <rPr>
        <sz val="10"/>
        <rFont val="Noto Sans CJK SC"/>
        <family val="2"/>
      </rPr>
      <t xml:space="preserve">粘贴到受损行</t>
    </r>
    <r>
      <rPr>
        <sz val="10"/>
        <rFont val="微软雅黑"/>
        <family val="0"/>
        <charset val="1"/>
      </rPr>
      <t xml:space="preserve">;③</t>
    </r>
    <r>
      <rPr>
        <sz val="10"/>
        <rFont val="Noto Sans CJK SC"/>
        <family val="2"/>
      </rPr>
      <t xml:space="preserve">审阅→保护工作表。最终成绩以批量校验脚本独立重算为准</t>
    </r>
    <r>
      <rPr>
        <sz val="10"/>
        <rFont val="微软雅黑"/>
        <family val="0"/>
        <charset val="1"/>
      </rPr>
      <t xml:space="preserve">,</t>
    </r>
    <r>
      <rPr>
        <sz val="10"/>
        <rFont val="Noto Sans CJK SC"/>
        <family val="2"/>
      </rPr>
      <t xml:space="preserve">公式受损不影响评分。</t>
    </r>
  </si>
  <si>
    <t xml:space="preserve">提交前自检清单</t>
  </si>
  <si>
    <t xml:space="preserve">全部打「是」才提交。老师收到后跑批量校验脚本,自检没做的直接退回。</t>
  </si>
  <si>
    <t xml:space="preserve">自检项</t>
  </si>
  <si>
    <t xml:space="preserve">是/否</t>
  </si>
  <si>
    <t xml:space="preserve">说明</t>
  </si>
  <si>
    <t xml:space="preserve">【数据录入】页最右「自检结果」列全部为绿色「✔ 通过基础校验」</t>
  </si>
  <si>
    <t xml:space="preserve">条目数达到认领目标(默认25条;双人任务按分配)</t>
  </si>
  <si>
    <t xml:space="preserve">至少覆盖两个不同位阶(不能全挑最容易的政策文件)</t>
  </si>
  <si>
    <t xml:space="preserve">每条都已回权威数据库核对原文,「核实来源」无 AI 工具名称</t>
  </si>
  <si>
    <t xml:space="preserve">「行为模式内容」全部为自己概括,无整段复制</t>
  </si>
  <si>
    <t xml:space="preserve">「制定区域」全部为「国家」,「央地权限配置」全部已填,「地方自主权类型」全部为空</t>
  </si>
  <si>
    <t xml:space="preserve">顶栏学号与编号已填写,条目ID与录入人两列已自动生成且无⚠受损提示</t>
  </si>
  <si>
    <t xml:space="preserve">已与组内成员核对无重复条款(双人任务为独立完成,未互抄)</t>
  </si>
  <si>
    <t xml:space="preserve">「条文定位」法条到款项、政策文件到段</t>
  </si>
  <si>
    <t xml:space="preserve">存疑之处已写入「备注」,未隐瞒</t>
  </si>
  <si>
    <t xml:space="preserve">【认领登记】页信息完整;文件已按「学号_编号_v1.xlsx」重命名</t>
  </si>
  <si>
    <t xml:space="preserve">自检通过项数</t>
  </si>
  <si>
    <t xml:space="preserve">结论</t>
  </si>
  <si>
    <t xml:space="preserve">受控词表 v0.4(请勿修改)</t>
  </si>
  <si>
    <t xml:space="preserve">主题标签</t>
  </si>
  <si>
    <t xml:space="preserve">行为模式类型</t>
  </si>
  <si>
    <t xml:space="preserve">区域</t>
  </si>
  <si>
    <t xml:space="preserve">北大法宝</t>
  </si>
  <si>
    <t xml:space="preserve">国务院</t>
  </si>
  <si>
    <t xml:space="preserve">授权性</t>
  </si>
  <si>
    <t xml:space="preserve">威科先行</t>
  </si>
  <si>
    <t xml:space="preserve">v2</t>
  </si>
  <si>
    <t xml:space="preserve">辽宁</t>
  </si>
  <si>
    <t xml:space="preserve">授权细化</t>
  </si>
  <si>
    <t xml:space="preserve">禁止性</t>
  </si>
  <si>
    <t xml:space="preserve">已废止</t>
  </si>
  <si>
    <t xml:space="preserve">定稿</t>
  </si>
  <si>
    <t xml:space="preserve">河北</t>
  </si>
  <si>
    <t xml:space="preserve">创设性</t>
  </si>
  <si>
    <t xml:space="preserve">海洋油气与矿产资源</t>
  </si>
  <si>
    <t xml:space="preserve">国家能源局</t>
  </si>
  <si>
    <t xml:space="preserve">定义性</t>
  </si>
  <si>
    <t xml:space="preserve">尚未生效</t>
  </si>
  <si>
    <t xml:space="preserve">国家行政法规数据库</t>
  </si>
  <si>
    <t xml:space="preserve">天津</t>
  </si>
  <si>
    <t xml:space="preserve">可协商性</t>
  </si>
  <si>
    <t xml:space="preserve">能源基础设施</t>
  </si>
  <si>
    <t xml:space="preserve">生态环境部</t>
  </si>
  <si>
    <t xml:space="preserve">山东</t>
  </si>
  <si>
    <t xml:space="preserve">中央专属</t>
  </si>
  <si>
    <t xml:space="preserve">无权限(存疑)</t>
  </si>
  <si>
    <t xml:space="preserve">国家发展改革委</t>
  </si>
  <si>
    <t xml:space="preserve">其他</t>
  </si>
  <si>
    <t xml:space="preserve">江苏</t>
  </si>
  <si>
    <t xml:space="preserve">生态环境与海岛保护</t>
  </si>
  <si>
    <t xml:space="preserve">财政部</t>
  </si>
  <si>
    <t xml:space="preserve">惩罚性</t>
  </si>
  <si>
    <t xml:space="preserve">浙江</t>
  </si>
  <si>
    <t xml:space="preserve">海洋权益与涉外事务</t>
  </si>
  <si>
    <t xml:space="preserve">交通运输部</t>
  </si>
  <si>
    <t xml:space="preserve">上海</t>
  </si>
  <si>
    <t xml:space="preserve">海洋观测与数据统计</t>
  </si>
  <si>
    <t xml:space="preserve">农业农村部</t>
  </si>
  <si>
    <t xml:space="preserve">福建</t>
  </si>
  <si>
    <t xml:space="preserve">国家海洋局(已并入自然资源部)</t>
  </si>
  <si>
    <t xml:space="preserve">广东</t>
  </si>
  <si>
    <t xml:space="preserve">国土资源部（已并入自然资源部）</t>
  </si>
  <si>
    <t xml:space="preserve">省级人大及其常委会</t>
  </si>
  <si>
    <t xml:space="preserve">海南</t>
  </si>
  <si>
    <t xml:space="preserve">省级人民政府</t>
  </si>
  <si>
    <t xml:space="preserve">修改本表会破坏下拉列表与全班数据一致性。需要新增取值,请联系老师统一发布新版模板。</t>
  </si>
</sst>
</file>

<file path=xl/styles.xml><?xml version="1.0" encoding="utf-8"?>
<styleSheet xmlns="http://schemas.openxmlformats.org/spreadsheetml/2006/main">
  <numFmts count="3">
    <numFmt numFmtId="164" formatCode="General"/>
    <numFmt numFmtId="165" formatCode="General"/>
    <numFmt numFmtId="166" formatCode="yyyy\-mm\-dd"/>
  </numFmts>
  <fonts count="29">
    <font>
      <sz val="11"/>
      <color theme="1"/>
      <name val="Calibri"/>
      <family val="2"/>
      <charset val="1"/>
    </font>
    <font>
      <sz val="10"/>
      <name val="Arial"/>
      <family val="0"/>
    </font>
    <font>
      <sz val="10"/>
      <name val="Arial"/>
      <family val="0"/>
    </font>
    <font>
      <sz val="10"/>
      <name val="Arial"/>
      <family val="0"/>
    </font>
    <font>
      <b val="true"/>
      <sz val="14"/>
      <color rgb="FF000000"/>
      <name val="Noto Sans CJK SC"/>
      <family val="2"/>
      <charset val="1"/>
    </font>
    <font>
      <sz val="10"/>
      <color rgb="FF808080"/>
      <name val="Noto Sans CJK SC"/>
      <family val="2"/>
      <charset val="1"/>
    </font>
    <font>
      <sz val="10"/>
      <color rgb="FF000000"/>
      <name val="微软雅黑"/>
      <family val="0"/>
      <charset val="1"/>
    </font>
    <font>
      <b val="true"/>
      <sz val="11"/>
      <color rgb="FF000000"/>
      <name val="Noto Sans CJK SC"/>
      <family val="2"/>
      <charset val="1"/>
    </font>
    <font>
      <b val="true"/>
      <sz val="10"/>
      <color rgb="FF000000"/>
      <name val="Noto Sans CJK SC"/>
      <family val="2"/>
      <charset val="1"/>
    </font>
    <font>
      <sz val="10"/>
      <color rgb="FF000000"/>
      <name val="Noto Sans CJK SC"/>
      <family val="2"/>
      <charset val="1"/>
    </font>
    <font>
      <b val="true"/>
      <sz val="10"/>
      <color rgb="FFC00000"/>
      <name val="微软雅黑"/>
      <family val="0"/>
      <charset val="1"/>
    </font>
    <font>
      <b val="true"/>
      <sz val="10"/>
      <color rgb="FFC00000"/>
      <name val="Noto Sans CJK SC"/>
      <family val="2"/>
    </font>
    <font>
      <sz val="10"/>
      <color rgb="FF000000"/>
      <name val="Noto Sans CJK SC"/>
      <family val="2"/>
    </font>
    <font>
      <sz val="10"/>
      <name val="Noto Sans CJK SC"/>
      <family val="2"/>
    </font>
    <font>
      <sz val="10"/>
      <name val="微软雅黑"/>
      <family val="0"/>
      <charset val="1"/>
    </font>
    <font>
      <b val="true"/>
      <sz val="10"/>
      <color rgb="FFC00000"/>
      <name val="Noto Sans CJK SC"/>
      <family val="2"/>
      <charset val="1"/>
    </font>
    <font>
      <i val="true"/>
      <sz val="9"/>
      <color rgb="FF808080"/>
      <name val="Noto Sans CJK SC"/>
      <family val="2"/>
      <charset val="1"/>
    </font>
    <font>
      <b val="true"/>
      <sz val="9"/>
      <color rgb="FFFFFFFF"/>
      <name val="Noto Sans CJK SC"/>
      <family val="2"/>
      <charset val="1"/>
    </font>
    <font>
      <b val="true"/>
      <sz val="9"/>
      <color rgb="FF000000"/>
      <name val="Noto Sans CJK SC"/>
      <family val="2"/>
      <charset val="1"/>
    </font>
    <font>
      <sz val="9"/>
      <color rgb="FF000000"/>
      <name val="微软雅黑"/>
      <family val="0"/>
      <charset val="1"/>
    </font>
    <font>
      <sz val="9"/>
      <color rgb="FF0000FF"/>
      <name val="微软雅黑"/>
      <family val="0"/>
      <charset val="1"/>
    </font>
    <font>
      <sz val="9"/>
      <color rgb="FF000000"/>
      <name val="Noto Sans CJK SC"/>
      <family val="2"/>
      <charset val="1"/>
    </font>
    <font>
      <sz val="10"/>
      <color rgb="FF0000FF"/>
      <name val="微软雅黑"/>
      <family val="0"/>
      <charset val="1"/>
    </font>
    <font>
      <b val="true"/>
      <sz val="10"/>
      <color rgb="FF000000"/>
      <name val="微软雅黑"/>
      <family val="0"/>
      <charset val="1"/>
    </font>
    <font>
      <b val="true"/>
      <sz val="10"/>
      <color rgb="FF000000"/>
      <name val="Noto Sans CJK SC"/>
      <family val="2"/>
    </font>
    <font>
      <sz val="10"/>
      <name val="Arial"/>
      <family val="2"/>
    </font>
    <font>
      <sz val="9"/>
      <color rgb="FF000000"/>
      <name val="Noto Sans CJK SC"/>
      <family val="2"/>
    </font>
    <font>
      <b val="true"/>
      <sz val="10"/>
      <name val="Noto Sans CJK SC"/>
      <family val="2"/>
    </font>
    <font>
      <b val="true"/>
      <sz val="10"/>
      <name val="微软雅黑"/>
      <family val="0"/>
      <charset val="1"/>
    </font>
  </fonts>
  <fills count="17">
    <fill>
      <patternFill patternType="none"/>
    </fill>
    <fill>
      <patternFill patternType="gray125"/>
    </fill>
    <fill>
      <patternFill patternType="solid">
        <fgColor rgb="FF1F3864"/>
        <bgColor rgb="FF333399"/>
      </patternFill>
    </fill>
    <fill>
      <patternFill patternType="solid">
        <fgColor rgb="FFD9E2F3"/>
        <bgColor rgb="FFDDEBF7"/>
      </patternFill>
    </fill>
    <fill>
      <patternFill patternType="solid">
        <fgColor rgb="FFFFF2CC"/>
        <bgColor rgb="FFFCE4D6"/>
      </patternFill>
    </fill>
    <fill>
      <patternFill patternType="solid">
        <fgColor rgb="FFFCE4D6"/>
        <bgColor rgb="FFFFF2CC"/>
      </patternFill>
    </fill>
    <fill>
      <patternFill patternType="solid">
        <fgColor rgb="FFE2EFDA"/>
        <bgColor rgb="FFDDEBF7"/>
      </patternFill>
    </fill>
    <fill>
      <patternFill patternType="solid">
        <fgColor rgb="FFF2F2F2"/>
        <bgColor rgb="FFEDE7F6"/>
      </patternFill>
    </fill>
    <fill>
      <patternFill patternType="solid">
        <fgColor rgb="FF2E5E9E"/>
        <bgColor rgb="FF2E75B6"/>
      </patternFill>
    </fill>
    <fill>
      <patternFill patternType="solid">
        <fgColor rgb="FF548235"/>
        <bgColor rgb="FF339966"/>
      </patternFill>
    </fill>
    <fill>
      <patternFill patternType="solid">
        <fgColor rgb="FF7030A0"/>
        <bgColor rgb="FF993366"/>
      </patternFill>
    </fill>
    <fill>
      <patternFill patternType="solid">
        <fgColor rgb="FF404040"/>
        <bgColor rgb="FF1F3864"/>
      </patternFill>
    </fill>
    <fill>
      <patternFill patternType="solid">
        <fgColor rgb="FFC6EFCE"/>
        <bgColor rgb="FFE2EFDA"/>
      </patternFill>
    </fill>
    <fill>
      <patternFill patternType="solid">
        <fgColor rgb="FFFFC7CE"/>
        <bgColor rgb="FFFCE4D6"/>
      </patternFill>
    </fill>
    <fill>
      <patternFill patternType="solid">
        <fgColor rgb="FFFFEB9C"/>
        <bgColor rgb="FFFFF2CC"/>
      </patternFill>
    </fill>
    <fill>
      <patternFill patternType="solid">
        <fgColor rgb="FFDDEBF7"/>
        <bgColor rgb="FFD9E2F3"/>
      </patternFill>
    </fill>
    <fill>
      <patternFill patternType="solid">
        <fgColor rgb="FFEDE7F6"/>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19" fillId="0" borderId="1"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20" fillId="4" borderId="1"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21" fillId="0" borderId="1" xfId="0" applyFont="true" applyBorder="true" applyAlignment="true" applyProtection="false">
      <alignment horizontal="general" vertical="top" textRotation="0" wrapText="true" indent="0" shrinkToFit="false"/>
      <protection locked="true" hidden="false"/>
    </xf>
    <xf numFmtId="164" fontId="21" fillId="5" borderId="1" xfId="0" applyFont="true" applyBorder="true" applyAlignment="true" applyProtection="false">
      <alignment horizontal="general" vertical="top" textRotation="0" wrapText="true" indent="0" shrinkToFit="false"/>
      <protection locked="true" hidden="false"/>
    </xf>
    <xf numFmtId="164" fontId="20" fillId="4" borderId="1" xfId="0" applyFont="true" applyBorder="true" applyAlignment="true" applyProtection="true">
      <alignment horizontal="general" vertical="top" textRotation="0" wrapText="true" indent="0" shrinkToFit="false"/>
      <protection locked="false" hidden="false"/>
    </xf>
    <xf numFmtId="164" fontId="0" fillId="6" borderId="1" xfId="0" applyFont="false" applyBorder="true" applyAlignment="true" applyProtection="false">
      <alignment horizontal="general" vertical="bottom" textRotation="0" wrapText="false" indent="0" shrinkToFit="false"/>
      <protection locked="true" hidden="false"/>
    </xf>
    <xf numFmtId="164" fontId="18" fillId="6"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22" fillId="4" borderId="1" xfId="0" applyFont="true" applyBorder="true" applyAlignment="true" applyProtection="false">
      <alignment horizontal="general" vertical="top" textRotation="0" wrapText="true" indent="0" shrinkToFit="false"/>
      <protection locked="true" hidden="false"/>
    </xf>
    <xf numFmtId="164" fontId="23" fillId="0" borderId="1" xfId="0" applyFont="true" applyBorder="true" applyAlignment="true" applyProtection="false">
      <alignment horizontal="general" vertical="bottom" textRotation="0" wrapText="false" indent="0" shrinkToFit="false"/>
      <protection locked="true" hidden="false"/>
    </xf>
    <xf numFmtId="164" fontId="22" fillId="4" borderId="1" xfId="0" applyFont="true" applyBorder="true" applyAlignment="true" applyProtection="true">
      <alignment horizontal="general" vertical="bottom" textRotation="0" wrapText="false" indent="0" shrinkToFit="false"/>
      <protection locked="false" hidden="false"/>
    </xf>
    <xf numFmtId="165" fontId="23" fillId="7" borderId="1" xfId="0" applyFont="true" applyBorder="true" applyAlignment="true" applyProtection="false">
      <alignment horizontal="general" vertical="bottom" textRotation="0" wrapText="false" indent="0" shrinkToFit="false"/>
      <protection locked="true" hidden="false"/>
    </xf>
    <xf numFmtId="164" fontId="17" fillId="8" borderId="1" xfId="0" applyFont="true" applyBorder="true" applyAlignment="true" applyProtection="false">
      <alignment horizontal="center" vertical="center" textRotation="0" wrapText="true" indent="0" shrinkToFit="false"/>
      <protection locked="true" hidden="false"/>
    </xf>
    <xf numFmtId="164" fontId="17" fillId="9" borderId="1" xfId="0" applyFont="true" applyBorder="true" applyAlignment="true" applyProtection="false">
      <alignment horizontal="center" vertical="center" textRotation="0" wrapText="true" indent="0" shrinkToFit="false"/>
      <protection locked="true" hidden="false"/>
    </xf>
    <xf numFmtId="164" fontId="17" fillId="10" borderId="1" xfId="0" applyFont="true" applyBorder="true" applyAlignment="true" applyProtection="false">
      <alignment horizontal="center" vertical="center" textRotation="0" wrapText="true" indent="0" shrinkToFit="false"/>
      <protection locked="true" hidden="false"/>
    </xf>
    <xf numFmtId="164" fontId="17" fillId="11" borderId="1" xfId="0" applyFont="true" applyBorder="true" applyAlignment="true" applyProtection="false">
      <alignment horizontal="center" vertical="center" textRotation="0" wrapText="true" indent="0" shrinkToFit="false"/>
      <protection locked="true" hidden="false"/>
    </xf>
    <xf numFmtId="164" fontId="19" fillId="7" borderId="1" xfId="0" applyFont="true" applyBorder="true" applyAlignment="true" applyProtection="false">
      <alignment horizontal="general" vertical="top" textRotation="0" wrapText="true" indent="0" shrinkToFit="false"/>
      <protection locked="true" hidden="false"/>
    </xf>
    <xf numFmtId="164" fontId="19" fillId="0" borderId="1" xfId="0" applyFont="true" applyBorder="true" applyAlignment="true" applyProtection="true">
      <alignment horizontal="general" vertical="top" textRotation="0" wrapText="true" indent="0" shrinkToFit="false"/>
      <protection locked="false" hidden="false"/>
    </xf>
    <xf numFmtId="166" fontId="19" fillId="0" borderId="1" xfId="0" applyFont="true" applyBorder="true" applyAlignment="true" applyProtection="true">
      <alignment horizontal="general" vertical="top" textRotation="0" wrapText="true" indent="0" shrinkToFit="false"/>
      <protection locked="false" hidden="false"/>
    </xf>
    <xf numFmtId="164" fontId="19" fillId="7" borderId="1" xfId="0" applyFont="true" applyBorder="true" applyAlignment="true" applyProtection="false">
      <alignment horizontal="center" vertical="center" textRotation="0" wrapText="true" indent="0" shrinkToFit="false"/>
      <protection locked="true" hidden="false"/>
    </xf>
    <xf numFmtId="164" fontId="19" fillId="12" borderId="1" xfId="0" applyFont="true" applyBorder="true" applyAlignment="true" applyProtection="false">
      <alignment horizontal="general" vertical="top" textRotation="0" wrapText="true" indent="0" shrinkToFit="false"/>
      <protection locked="true" hidden="false"/>
    </xf>
    <xf numFmtId="164" fontId="21" fillId="12" borderId="1" xfId="0" applyFont="true" applyBorder="true" applyAlignment="true" applyProtection="false">
      <alignment horizontal="general" vertical="top" textRotation="0" wrapText="true" indent="0" shrinkToFit="false"/>
      <protection locked="true" hidden="false"/>
    </xf>
    <xf numFmtId="164" fontId="19" fillId="13" borderId="1" xfId="0" applyFont="true" applyBorder="true" applyAlignment="true" applyProtection="false">
      <alignment horizontal="general" vertical="top" textRotation="0" wrapText="true" indent="0" shrinkToFit="false"/>
      <protection locked="true" hidden="false"/>
    </xf>
    <xf numFmtId="164" fontId="21" fillId="13" borderId="1" xfId="0" applyFont="true" applyBorder="true" applyAlignment="true" applyProtection="false">
      <alignment horizontal="general" vertical="top" textRotation="0" wrapText="true" indent="0" shrinkToFit="false"/>
      <protection locked="true" hidden="false"/>
    </xf>
    <xf numFmtId="164" fontId="19" fillId="14" borderId="1" xfId="0" applyFont="true" applyBorder="true" applyAlignment="true" applyProtection="false">
      <alignment horizontal="general" vertical="top" textRotation="0" wrapText="true" indent="0" shrinkToFit="false"/>
      <protection locked="true" hidden="false"/>
    </xf>
    <xf numFmtId="164" fontId="21" fillId="14" borderId="1" xfId="0" applyFont="true" applyBorder="true" applyAlignment="true" applyProtection="false">
      <alignment horizontal="general" vertical="top" textRotation="0" wrapText="true" indent="0" shrinkToFit="false"/>
      <protection locked="true" hidden="false"/>
    </xf>
    <xf numFmtId="164" fontId="19" fillId="15" borderId="1" xfId="0" applyFont="true" applyBorder="true" applyAlignment="true" applyProtection="false">
      <alignment horizontal="general" vertical="top" textRotation="0" wrapText="true" indent="0" shrinkToFit="false"/>
      <protection locked="true" hidden="false"/>
    </xf>
    <xf numFmtId="164" fontId="21" fillId="15" borderId="1" xfId="0" applyFont="true" applyBorder="true" applyAlignment="true" applyProtection="false">
      <alignment horizontal="general" vertical="top" textRotation="0" wrapText="true" indent="0" shrinkToFit="false"/>
      <protection locked="true" hidden="false"/>
    </xf>
    <xf numFmtId="164" fontId="19" fillId="16" borderId="1" xfId="0" applyFont="true" applyBorder="true" applyAlignment="true" applyProtection="false">
      <alignment horizontal="general" vertical="top" textRotation="0" wrapText="true" indent="0" shrinkToFit="false"/>
      <protection locked="true" hidden="false"/>
    </xf>
    <xf numFmtId="164" fontId="21" fillId="16"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27"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22" fillId="4"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5" fontId="23" fillId="7" borderId="0" xfId="0" applyFont="true" applyBorder="false" applyAlignment="true" applyProtection="false">
      <alignment horizontal="general" vertical="bottom" textRotation="0" wrapText="false" indent="0" shrinkToFit="false"/>
      <protection locked="true" hidden="false"/>
    </xf>
    <xf numFmtId="164" fontId="8" fillId="7" borderId="0"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FFC7CE"/>
        </patternFill>
      </fill>
    </dxf>
    <dxf>
      <fill>
        <patternFill>
          <bgColor rgb="FFC6EFCE"/>
        </patternFill>
      </fill>
    </dxf>
    <dxf>
      <fill>
        <patternFill>
          <bgColor rgb="FFE2EFDA"/>
        </patternFill>
      </fill>
    </dxf>
    <dxf>
      <fill>
        <patternFill>
          <bgColor rgb="FFEDE7F6"/>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7030A0"/>
      <rgbColor rgb="FFFFF2CC"/>
      <rgbColor rgb="FFDDEBF7"/>
      <rgbColor rgb="FF660066"/>
      <rgbColor rgb="FFFF8080"/>
      <rgbColor rgb="FF2E5E9E"/>
      <rgbColor rgb="FFD9E2F3"/>
      <rgbColor rgb="FF000080"/>
      <rgbColor rgb="FFFF00FF"/>
      <rgbColor rgb="FFFFFF00"/>
      <rgbColor rgb="FF00FFFF"/>
      <rgbColor rgb="FF800080"/>
      <rgbColor rgb="FF800000"/>
      <rgbColor rgb="FF008080"/>
      <rgbColor rgb="FF0000FF"/>
      <rgbColor rgb="FF00CCFF"/>
      <rgbColor rgb="FFE2EFDA"/>
      <rgbColor rgb="FFC6EFCE"/>
      <rgbColor rgb="FFFFEB9C"/>
      <rgbColor rgb="FFEDE7F6"/>
      <rgbColor rgb="FFFCE4D6"/>
      <rgbColor rgb="FFF2F2F2"/>
      <rgbColor rgb="FFFFC7CE"/>
      <rgbColor rgb="FF2E75B6"/>
      <rgbColor rgb="FF33CCCC"/>
      <rgbColor rgb="FF99CC00"/>
      <rgbColor rgb="FFFFCC00"/>
      <rgbColor rgb="FFBF8F00"/>
      <rgbColor rgb="FFFF6600"/>
      <rgbColor rgb="FF666699"/>
      <rgbColor rgb="FF969696"/>
      <rgbColor rgb="FF1F3864"/>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A5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0"/>
  </cols>
  <sheetData>
    <row r="1" customFormat="false" ht="21"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row>
    <row r="4" customFormat="false" ht="15" hidden="false" customHeight="true" outlineLevel="0" collapsed="false">
      <c r="A4" s="5" t="s">
        <v>2</v>
      </c>
    </row>
    <row r="5" customFormat="false" ht="15" hidden="false" customHeight="true" outlineLevel="0" collapsed="false">
      <c r="A5" s="6" t="s">
        <v>3</v>
      </c>
    </row>
    <row r="6" customFormat="false" ht="15" hidden="false" customHeight="true" outlineLevel="0" collapsed="false">
      <c r="A6" s="7" t="s">
        <v>4</v>
      </c>
    </row>
    <row r="7" customFormat="false" ht="15" hidden="false" customHeight="true" outlineLevel="0" collapsed="false">
      <c r="A7" s="6" t="s">
        <v>5</v>
      </c>
    </row>
    <row r="8" customFormat="false" ht="15" hidden="false" customHeight="true" outlineLevel="0" collapsed="false">
      <c r="A8" s="6" t="s">
        <v>6</v>
      </c>
    </row>
    <row r="9" customFormat="false" ht="15" hidden="false" customHeight="true" outlineLevel="0" collapsed="false">
      <c r="A9" s="4"/>
    </row>
    <row r="10" customFormat="false" ht="15" hidden="false" customHeight="true" outlineLevel="0" collapsed="false">
      <c r="A10" s="5" t="s">
        <v>7</v>
      </c>
    </row>
    <row r="11" customFormat="false" ht="15" hidden="false" customHeight="true" outlineLevel="0" collapsed="false">
      <c r="A11" s="7" t="s">
        <v>8</v>
      </c>
    </row>
    <row r="12" customFormat="false" ht="15" hidden="false" customHeight="true" outlineLevel="0" collapsed="false">
      <c r="A12" s="7" t="s">
        <v>9</v>
      </c>
    </row>
    <row r="13" customFormat="false" ht="15" hidden="false" customHeight="true" outlineLevel="0" collapsed="false">
      <c r="A13" s="7" t="s">
        <v>10</v>
      </c>
    </row>
    <row r="14" customFormat="false" ht="15" hidden="false" customHeight="true" outlineLevel="0" collapsed="false">
      <c r="A14" s="7" t="s">
        <v>11</v>
      </c>
    </row>
    <row r="15" customFormat="false" ht="15" hidden="false" customHeight="true" outlineLevel="0" collapsed="false">
      <c r="A15" s="7" t="s">
        <v>12</v>
      </c>
    </row>
    <row r="16" customFormat="false" ht="15" hidden="false" customHeight="true" outlineLevel="0" collapsed="false">
      <c r="A16" s="4"/>
    </row>
    <row r="17" customFormat="false" ht="15" hidden="false" customHeight="true" outlineLevel="0" collapsed="false">
      <c r="A17" s="5" t="s">
        <v>13</v>
      </c>
    </row>
    <row r="18" customFormat="false" ht="15" hidden="false" customHeight="true" outlineLevel="0" collapsed="false">
      <c r="A18" s="7" t="s">
        <v>14</v>
      </c>
    </row>
    <row r="19" customFormat="false" ht="15" hidden="false" customHeight="true" outlineLevel="0" collapsed="false">
      <c r="A19" s="4"/>
    </row>
    <row r="20" customFormat="false" ht="16.5" hidden="false" customHeight="true" outlineLevel="0" collapsed="false">
      <c r="A20" s="5" t="s">
        <v>15</v>
      </c>
    </row>
    <row r="21" customFormat="false" ht="15" hidden="false" customHeight="true" outlineLevel="0" collapsed="false">
      <c r="A21" s="8" t="s">
        <v>16</v>
      </c>
    </row>
    <row r="22" customFormat="false" ht="15" hidden="false" customHeight="true" outlineLevel="0" collapsed="false">
      <c r="A22" s="8" t="s">
        <v>17</v>
      </c>
    </row>
    <row r="23" customFormat="false" ht="15" hidden="false" customHeight="true" outlineLevel="0" collapsed="false">
      <c r="A23" s="7" t="s">
        <v>18</v>
      </c>
    </row>
    <row r="24" customFormat="false" ht="15" hidden="false" customHeight="true" outlineLevel="0" collapsed="false">
      <c r="A24" s="4" t="s">
        <v>19</v>
      </c>
    </row>
    <row r="25" customFormat="false" ht="15" hidden="false" customHeight="true" outlineLevel="0" collapsed="false">
      <c r="A25" s="4" t="s">
        <v>20</v>
      </c>
    </row>
    <row r="26" customFormat="false" ht="15" hidden="false" customHeight="true" outlineLevel="0" collapsed="false">
      <c r="A26" s="4" t="s">
        <v>21</v>
      </c>
    </row>
    <row r="27" customFormat="false" ht="15" hidden="false" customHeight="true" outlineLevel="0" collapsed="false">
      <c r="A27" s="4"/>
    </row>
    <row r="28" customFormat="false" ht="16.5" hidden="false" customHeight="true" outlineLevel="0" collapsed="false">
      <c r="A28" s="5" t="s">
        <v>22</v>
      </c>
    </row>
    <row r="29" customFormat="false" ht="15" hidden="false" customHeight="true" outlineLevel="0" collapsed="false">
      <c r="A29" s="4" t="s">
        <v>23</v>
      </c>
    </row>
    <row r="30" customFormat="false" ht="15" hidden="false" customHeight="true" outlineLevel="0" collapsed="false">
      <c r="A30" s="4" t="s">
        <v>24</v>
      </c>
    </row>
    <row r="31" customFormat="false" ht="15" hidden="false" customHeight="true" outlineLevel="0" collapsed="false">
      <c r="A31" s="4" t="s">
        <v>25</v>
      </c>
    </row>
    <row r="32" customFormat="false" ht="15" hidden="false" customHeight="true" outlineLevel="0" collapsed="false">
      <c r="A32" s="7" t="s">
        <v>26</v>
      </c>
    </row>
    <row r="33" customFormat="false" ht="15" hidden="false" customHeight="true" outlineLevel="0" collapsed="false">
      <c r="A33" s="4" t="s">
        <v>27</v>
      </c>
    </row>
    <row r="34" customFormat="false" ht="15" hidden="false" customHeight="true" outlineLevel="0" collapsed="false">
      <c r="A34" s="4" t="s">
        <v>28</v>
      </c>
    </row>
    <row r="35" customFormat="false" ht="15" hidden="false" customHeight="true" outlineLevel="0" collapsed="false">
      <c r="A35" s="6" t="s">
        <v>29</v>
      </c>
    </row>
    <row r="36" customFormat="false" ht="15" hidden="false" customHeight="true" outlineLevel="0" collapsed="false">
      <c r="A36" s="9" t="s">
        <v>30</v>
      </c>
    </row>
    <row r="37" customFormat="false" ht="16.5" hidden="false" customHeight="true" outlineLevel="0" collapsed="false">
      <c r="A37" s="4"/>
    </row>
    <row r="38" customFormat="false" ht="15" hidden="false" customHeight="true" outlineLevel="0" collapsed="false">
      <c r="A38" s="5" t="s">
        <v>31</v>
      </c>
    </row>
    <row r="39" customFormat="false" ht="15" hidden="false" customHeight="true" outlineLevel="0" collapsed="false">
      <c r="A39" s="10" t="s">
        <v>32</v>
      </c>
    </row>
    <row r="40" customFormat="false" ht="15" hidden="false" customHeight="true" outlineLevel="0" collapsed="false">
      <c r="A40" s="9" t="s">
        <v>33</v>
      </c>
    </row>
    <row r="41" customFormat="false" ht="15" hidden="false" customHeight="true" outlineLevel="0" collapsed="false">
      <c r="A41" s="4"/>
    </row>
    <row r="42" customFormat="false" ht="15" hidden="false" customHeight="true" outlineLevel="0" collapsed="false">
      <c r="A42" s="5" t="s">
        <v>34</v>
      </c>
    </row>
    <row r="43" customFormat="false" ht="15" hidden="false" customHeight="true" outlineLevel="0" collapsed="false">
      <c r="A43" s="7" t="s">
        <v>35</v>
      </c>
    </row>
    <row r="44" customFormat="false" ht="15" hidden="false" customHeight="true" outlineLevel="0" collapsed="false">
      <c r="A44" s="7" t="s">
        <v>36</v>
      </c>
    </row>
    <row r="45" customFormat="false" ht="15" hidden="false" customHeight="true" outlineLevel="0" collapsed="false">
      <c r="A45" s="9" t="s">
        <v>37</v>
      </c>
    </row>
    <row r="46" customFormat="false" ht="15" hidden="false" customHeight="true" outlineLevel="0" collapsed="false">
      <c r="A46" s="4"/>
    </row>
    <row r="47" customFormat="false" ht="15" hidden="false" customHeight="true" outlineLevel="0" collapsed="false">
      <c r="A47" s="5" t="s">
        <v>38</v>
      </c>
    </row>
    <row r="48" customFormat="false" ht="15" hidden="false" customHeight="true" outlineLevel="0" collapsed="false">
      <c r="A48" s="7" t="s">
        <v>39</v>
      </c>
    </row>
    <row r="49" customFormat="false" ht="15" hidden="false" customHeight="true" outlineLevel="0" collapsed="false">
      <c r="A49" s="7" t="s">
        <v>40</v>
      </c>
    </row>
    <row r="50" customFormat="false" ht="15" hidden="false" customHeight="true" outlineLevel="0" collapsed="false">
      <c r="A50" s="7" t="s">
        <v>41</v>
      </c>
    </row>
    <row r="51" customFormat="false" ht="15" hidden="false" customHeight="true" outlineLevel="0" collapsed="false">
      <c r="A51" s="7" t="s">
        <v>42</v>
      </c>
    </row>
    <row r="52" customFormat="false" ht="15" hidden="false" customHeight="true" outlineLevel="0" collapsed="false">
      <c r="A52" s="7" t="s">
        <v>43</v>
      </c>
    </row>
    <row r="53" customFormat="false" ht="15" hidden="false" customHeight="true" outlineLevel="0" collapsed="false">
      <c r="A53" s="7" t="s">
        <v>44</v>
      </c>
    </row>
    <row r="54" customFormat="false" ht="15" hidden="false" customHeight="true" outlineLevel="0" collapsed="false">
      <c r="A54" s="7" t="s">
        <v>45</v>
      </c>
    </row>
    <row r="55" customFormat="false" ht="15" hidden="false" customHeight="true" outlineLevel="0" collapsed="false">
      <c r="A55" s="4"/>
    </row>
    <row r="56" customFormat="false" ht="15" hidden="false" customHeight="false" outlineLevel="0" collapsed="false">
      <c r="A56" s="5" t="s">
        <v>46</v>
      </c>
    </row>
    <row r="57" customFormat="false" ht="15" hidden="false" customHeight="false" outlineLevel="0" collapsed="false">
      <c r="A57" s="7" t="s">
        <v>47</v>
      </c>
    </row>
    <row r="58" customFormat="false" ht="15" hidden="false" customHeight="false" outlineLevel="0" collapsed="false">
      <c r="A58" s="7" t="s">
        <v>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6"/>
    <col collapsed="false" customWidth="true" hidden="false" outlineLevel="0" max="3" min="3" style="1" width="10"/>
    <col collapsed="false" customWidth="true" hidden="false" outlineLevel="0" max="4" min="4" style="1" width="12"/>
  </cols>
  <sheetData>
    <row r="1" customFormat="false" ht="21" hidden="false" customHeight="true" outlineLevel="0" collapsed="false">
      <c r="A1" s="2" t="s">
        <v>49</v>
      </c>
    </row>
    <row r="2" customFormat="false" ht="15" hidden="false" customHeight="true" outlineLevel="0" collapsed="false">
      <c r="A2" s="11" t="s">
        <v>50</v>
      </c>
    </row>
    <row r="4" customFormat="false" ht="15" hidden="false" customHeight="true" outlineLevel="0" collapsed="false">
      <c r="A4" s="12" t="s">
        <v>51</v>
      </c>
      <c r="B4" s="12" t="s">
        <v>52</v>
      </c>
      <c r="C4" s="12" t="s">
        <v>53</v>
      </c>
      <c r="D4" s="12" t="s">
        <v>54</v>
      </c>
    </row>
    <row r="5" customFormat="false" ht="15" hidden="false" customHeight="true" outlineLevel="0" collapsed="false">
      <c r="A5" s="13" t="s">
        <v>55</v>
      </c>
      <c r="B5" s="13" t="s">
        <v>56</v>
      </c>
      <c r="C5" s="14" t="s">
        <v>57</v>
      </c>
      <c r="D5" s="14" t="s">
        <v>58</v>
      </c>
    </row>
    <row r="6" customFormat="false" ht="15" hidden="false" customHeight="true" outlineLevel="0" collapsed="false">
      <c r="A6" s="13" t="s">
        <v>59</v>
      </c>
      <c r="B6" s="13" t="s">
        <v>60</v>
      </c>
      <c r="C6" s="14" t="s">
        <v>57</v>
      </c>
      <c r="D6" s="14" t="s">
        <v>58</v>
      </c>
    </row>
    <row r="7" customFormat="false" ht="15" hidden="false" customHeight="true" outlineLevel="0" collapsed="false">
      <c r="A7" s="13" t="s">
        <v>61</v>
      </c>
      <c r="B7" s="13" t="s">
        <v>62</v>
      </c>
      <c r="C7" s="14" t="s">
        <v>57</v>
      </c>
      <c r="D7" s="14" t="s">
        <v>58</v>
      </c>
    </row>
    <row r="8" customFormat="false" ht="15" hidden="false" customHeight="true" outlineLevel="0" collapsed="false">
      <c r="A8" s="13" t="s">
        <v>63</v>
      </c>
      <c r="B8" s="13" t="s">
        <v>64</v>
      </c>
      <c r="C8" s="14" t="s">
        <v>57</v>
      </c>
      <c r="D8" s="14" t="s">
        <v>58</v>
      </c>
    </row>
    <row r="9" customFormat="false" ht="15" hidden="false" customHeight="true" outlineLevel="0" collapsed="false">
      <c r="A9" s="13" t="s">
        <v>65</v>
      </c>
      <c r="B9" s="13" t="s">
        <v>66</v>
      </c>
      <c r="C9" s="14" t="s">
        <v>57</v>
      </c>
      <c r="D9" s="14" t="s">
        <v>58</v>
      </c>
    </row>
    <row r="10" customFormat="false" ht="15" hidden="false" customHeight="true" outlineLevel="0" collapsed="false">
      <c r="A10" s="13" t="s">
        <v>67</v>
      </c>
      <c r="B10" s="13" t="s">
        <v>68</v>
      </c>
      <c r="C10" s="14" t="s">
        <v>57</v>
      </c>
      <c r="D10" s="14" t="s">
        <v>58</v>
      </c>
    </row>
    <row r="11" customFormat="false" ht="15" hidden="false" customHeight="true" outlineLevel="0" collapsed="false">
      <c r="A11" s="13" t="s">
        <v>69</v>
      </c>
      <c r="B11" s="13" t="s">
        <v>70</v>
      </c>
      <c r="C11" s="14" t="s">
        <v>57</v>
      </c>
      <c r="D11" s="14" t="s">
        <v>58</v>
      </c>
    </row>
    <row r="12" customFormat="false" ht="15" hidden="false" customHeight="true" outlineLevel="0" collapsed="false">
      <c r="A12" s="13" t="s">
        <v>71</v>
      </c>
      <c r="B12" s="13" t="s">
        <v>72</v>
      </c>
      <c r="C12" s="14" t="s">
        <v>57</v>
      </c>
      <c r="D12" s="14" t="s">
        <v>58</v>
      </c>
    </row>
    <row r="13" customFormat="false" ht="15" hidden="false" customHeight="true" outlineLevel="0" collapsed="false">
      <c r="A13" s="13" t="s">
        <v>73</v>
      </c>
      <c r="B13" s="13" t="s">
        <v>74</v>
      </c>
      <c r="C13" s="14" t="s">
        <v>57</v>
      </c>
      <c r="D13" s="14" t="s">
        <v>58</v>
      </c>
    </row>
    <row r="14" customFormat="false" ht="15" hidden="false" customHeight="true" outlineLevel="0" collapsed="false">
      <c r="A14" s="13" t="s">
        <v>75</v>
      </c>
      <c r="B14" s="13" t="s">
        <v>76</v>
      </c>
      <c r="C14" s="14" t="s">
        <v>57</v>
      </c>
      <c r="D14" s="14" t="s">
        <v>58</v>
      </c>
    </row>
    <row r="15" customFormat="false" ht="15" hidden="false" customHeight="true" outlineLevel="0" collapsed="false">
      <c r="A15" s="13" t="s">
        <v>77</v>
      </c>
      <c r="B15" s="13" t="s">
        <v>78</v>
      </c>
      <c r="C15" s="14" t="s">
        <v>57</v>
      </c>
      <c r="D15" s="14" t="s">
        <v>58</v>
      </c>
    </row>
    <row r="16" customFormat="false" ht="15" hidden="false" customHeight="true" outlineLevel="0" collapsed="false">
      <c r="A16" s="13" t="s">
        <v>79</v>
      </c>
      <c r="B16" s="13" t="s">
        <v>80</v>
      </c>
      <c r="C16" s="14" t="s">
        <v>57</v>
      </c>
      <c r="D16" s="14" t="s">
        <v>58</v>
      </c>
    </row>
    <row r="17" customFormat="false" ht="15" hidden="false" customHeight="true" outlineLevel="0" collapsed="false">
      <c r="A17" s="13" t="s">
        <v>81</v>
      </c>
      <c r="B17" s="13" t="s">
        <v>82</v>
      </c>
      <c r="C17" s="14" t="s">
        <v>57</v>
      </c>
      <c r="D17" s="14" t="s">
        <v>58</v>
      </c>
    </row>
    <row r="18" customFormat="false" ht="15" hidden="false" customHeight="true" outlineLevel="0" collapsed="false">
      <c r="A18" s="13" t="s">
        <v>83</v>
      </c>
      <c r="B18" s="13" t="s">
        <v>84</v>
      </c>
      <c r="C18" s="14" t="s">
        <v>57</v>
      </c>
      <c r="D18" s="14" t="s">
        <v>58</v>
      </c>
    </row>
    <row r="19" customFormat="false" ht="15" hidden="false" customHeight="true" outlineLevel="0" collapsed="false">
      <c r="A19" s="13" t="s">
        <v>85</v>
      </c>
      <c r="B19" s="13" t="s">
        <v>86</v>
      </c>
      <c r="C19" s="14" t="s">
        <v>57</v>
      </c>
      <c r="D19" s="14" t="s">
        <v>58</v>
      </c>
    </row>
    <row r="20" customFormat="false" ht="15" hidden="false" customHeight="true" outlineLevel="0" collapsed="false">
      <c r="A20" s="13" t="s">
        <v>87</v>
      </c>
      <c r="B20" s="13" t="s">
        <v>88</v>
      </c>
      <c r="C20" s="14" t="s">
        <v>57</v>
      </c>
      <c r="D20" s="14" t="s">
        <v>58</v>
      </c>
    </row>
    <row r="21" customFormat="false" ht="15" hidden="false" customHeight="true" outlineLevel="0" collapsed="false">
      <c r="A21" s="13" t="s">
        <v>89</v>
      </c>
      <c r="B21" s="13" t="s">
        <v>90</v>
      </c>
      <c r="C21" s="14" t="s">
        <v>57</v>
      </c>
      <c r="D21" s="14" t="s">
        <v>58</v>
      </c>
    </row>
    <row r="22" customFormat="false" ht="15" hidden="false" customHeight="true" outlineLevel="0" collapsed="false">
      <c r="A22" s="13" t="s">
        <v>91</v>
      </c>
      <c r="B22" s="13" t="s">
        <v>92</v>
      </c>
      <c r="C22" s="14" t="s">
        <v>57</v>
      </c>
      <c r="D22" s="14" t="s">
        <v>58</v>
      </c>
    </row>
    <row r="23" customFormat="false" ht="15" hidden="false" customHeight="true" outlineLevel="0" collapsed="false">
      <c r="A23" s="13" t="s">
        <v>93</v>
      </c>
      <c r="B23" s="13" t="s">
        <v>94</v>
      </c>
      <c r="C23" s="14" t="s">
        <v>57</v>
      </c>
      <c r="D23" s="14" t="s">
        <v>58</v>
      </c>
    </row>
    <row r="24" customFormat="false" ht="15" hidden="false" customHeight="true" outlineLevel="0" collapsed="false">
      <c r="A24" s="13" t="s">
        <v>95</v>
      </c>
      <c r="B24" s="13" t="s">
        <v>96</v>
      </c>
      <c r="C24" s="14" t="s">
        <v>57</v>
      </c>
      <c r="D24" s="14" t="s">
        <v>58</v>
      </c>
    </row>
    <row r="25" customFormat="false" ht="15" hidden="false" customHeight="true" outlineLevel="0" collapsed="false">
      <c r="A25" s="13" t="s">
        <v>97</v>
      </c>
      <c r="B25" s="13" t="s">
        <v>98</v>
      </c>
      <c r="C25" s="14" t="s">
        <v>57</v>
      </c>
      <c r="D25" s="14" t="s">
        <v>58</v>
      </c>
    </row>
    <row r="26" customFormat="false" ht="15" hidden="false" customHeight="true" outlineLevel="0" collapsed="false">
      <c r="A26" s="13" t="s">
        <v>99</v>
      </c>
      <c r="B26" s="13" t="s">
        <v>100</v>
      </c>
      <c r="C26" s="14" t="s">
        <v>57</v>
      </c>
      <c r="D26" s="14" t="s">
        <v>58</v>
      </c>
    </row>
    <row r="27" customFormat="false" ht="15" hidden="false" customHeight="true" outlineLevel="0" collapsed="false">
      <c r="A27" s="13" t="s">
        <v>101</v>
      </c>
      <c r="B27" s="13" t="s">
        <v>102</v>
      </c>
      <c r="C27" s="14" t="s">
        <v>57</v>
      </c>
      <c r="D27" s="14" t="s">
        <v>58</v>
      </c>
    </row>
    <row r="28" customFormat="false" ht="15" hidden="false" customHeight="true" outlineLevel="0" collapsed="false">
      <c r="A28" s="13" t="s">
        <v>103</v>
      </c>
      <c r="B28" s="13" t="s">
        <v>104</v>
      </c>
      <c r="C28" s="14" t="s">
        <v>57</v>
      </c>
      <c r="D28" s="14" t="s">
        <v>58</v>
      </c>
    </row>
    <row r="29" customFormat="false" ht="15" hidden="false" customHeight="true" outlineLevel="0" collapsed="false">
      <c r="A29" s="13" t="s">
        <v>105</v>
      </c>
      <c r="B29" s="13" t="s">
        <v>106</v>
      </c>
      <c r="C29" s="14" t="s">
        <v>57</v>
      </c>
      <c r="D29" s="14" t="s">
        <v>58</v>
      </c>
    </row>
    <row r="30" customFormat="false" ht="15" hidden="false" customHeight="true" outlineLevel="0" collapsed="false">
      <c r="A30" s="13" t="s">
        <v>107</v>
      </c>
      <c r="B30" s="13" t="s">
        <v>108</v>
      </c>
      <c r="C30" s="14" t="s">
        <v>57</v>
      </c>
      <c r="D30" s="14" t="s">
        <v>58</v>
      </c>
    </row>
    <row r="31" customFormat="false" ht="15" hidden="false" customHeight="true" outlineLevel="0" collapsed="false">
      <c r="A31" s="13" t="s">
        <v>109</v>
      </c>
      <c r="B31" s="13" t="s">
        <v>110</v>
      </c>
      <c r="C31" s="14" t="s">
        <v>57</v>
      </c>
      <c r="D31" s="14" t="s">
        <v>58</v>
      </c>
    </row>
    <row r="32" customFormat="false" ht="15" hidden="false" customHeight="true" outlineLevel="0" collapsed="false">
      <c r="A32" s="13" t="s">
        <v>111</v>
      </c>
      <c r="B32" s="13" t="s">
        <v>112</v>
      </c>
      <c r="C32" s="14" t="s">
        <v>57</v>
      </c>
      <c r="D32" s="14" t="s">
        <v>58</v>
      </c>
    </row>
    <row r="33" customFormat="false" ht="15" hidden="false" customHeight="true" outlineLevel="0" collapsed="false">
      <c r="A33" s="13" t="s">
        <v>113</v>
      </c>
      <c r="B33" s="13" t="s">
        <v>114</v>
      </c>
      <c r="C33" s="14" t="s">
        <v>57</v>
      </c>
      <c r="D33" s="14" t="s">
        <v>58</v>
      </c>
    </row>
    <row r="34" customFormat="false" ht="15" hidden="false" customHeight="true" outlineLevel="0" collapsed="false">
      <c r="A34" s="13" t="s">
        <v>115</v>
      </c>
      <c r="B34" s="13" t="s">
        <v>116</v>
      </c>
      <c r="C34" s="14" t="s">
        <v>57</v>
      </c>
      <c r="D34" s="14" t="s">
        <v>58</v>
      </c>
    </row>
    <row r="35" customFormat="false" ht="15" hidden="false" customHeight="true" outlineLevel="0" collapsed="false">
      <c r="A35" s="13" t="s">
        <v>117</v>
      </c>
      <c r="B35" s="13" t="s">
        <v>118</v>
      </c>
      <c r="C35" s="14" t="s">
        <v>57</v>
      </c>
      <c r="D35" s="14" t="s">
        <v>58</v>
      </c>
    </row>
    <row r="36" customFormat="false" ht="15" hidden="false" customHeight="true" outlineLevel="0" collapsed="false">
      <c r="A36" s="13" t="s">
        <v>119</v>
      </c>
      <c r="B36" s="13" t="s">
        <v>120</v>
      </c>
      <c r="C36" s="14" t="s">
        <v>57</v>
      </c>
      <c r="D36" s="14" t="s">
        <v>58</v>
      </c>
    </row>
    <row r="37" customFormat="false" ht="15" hidden="false" customHeight="true" outlineLevel="0" collapsed="false">
      <c r="A37" s="13" t="s">
        <v>121</v>
      </c>
      <c r="B37" s="13" t="s">
        <v>122</v>
      </c>
      <c r="C37" s="14" t="s">
        <v>57</v>
      </c>
      <c r="D37" s="14" t="s">
        <v>58</v>
      </c>
    </row>
    <row r="38" customFormat="false" ht="15" hidden="false" customHeight="true" outlineLevel="0" collapsed="false">
      <c r="A38" s="13" t="s">
        <v>123</v>
      </c>
      <c r="B38" s="13" t="s">
        <v>124</v>
      </c>
      <c r="C38" s="14" t="s">
        <v>57</v>
      </c>
      <c r="D38" s="14" t="s">
        <v>58</v>
      </c>
    </row>
    <row r="39" customFormat="false" ht="15" hidden="false" customHeight="true" outlineLevel="0" collapsed="false">
      <c r="A39" s="13" t="s">
        <v>125</v>
      </c>
      <c r="B39" s="13" t="s">
        <v>126</v>
      </c>
      <c r="C39" s="14" t="s">
        <v>57</v>
      </c>
      <c r="D39" s="14" t="s">
        <v>58</v>
      </c>
    </row>
    <row r="40" customFormat="false" ht="15" hidden="false" customHeight="true" outlineLevel="0" collapsed="false">
      <c r="A40" s="13" t="s">
        <v>127</v>
      </c>
      <c r="B40" s="13" t="s">
        <v>128</v>
      </c>
      <c r="C40" s="14" t="s">
        <v>57</v>
      </c>
      <c r="D40" s="14" t="s">
        <v>58</v>
      </c>
    </row>
    <row r="41" customFormat="false" ht="15" hidden="false" customHeight="true" outlineLevel="0" collapsed="false">
      <c r="A41" s="13" t="s">
        <v>129</v>
      </c>
      <c r="B41" s="13" t="s">
        <v>130</v>
      </c>
      <c r="C41" s="14" t="s">
        <v>57</v>
      </c>
      <c r="D41" s="14" t="s">
        <v>58</v>
      </c>
    </row>
    <row r="42" customFormat="false" ht="15" hidden="false" customHeight="true" outlineLevel="0" collapsed="false">
      <c r="A42" s="13" t="s">
        <v>131</v>
      </c>
      <c r="B42" s="13" t="s">
        <v>132</v>
      </c>
      <c r="C42" s="14" t="s">
        <v>57</v>
      </c>
      <c r="D42" s="14" t="s">
        <v>58</v>
      </c>
    </row>
    <row r="43" customFormat="false" ht="15" hidden="false" customHeight="true" outlineLevel="0" collapsed="false">
      <c r="A43" s="13" t="s">
        <v>133</v>
      </c>
      <c r="B43" s="13" t="s">
        <v>134</v>
      </c>
      <c r="C43" s="14" t="s">
        <v>57</v>
      </c>
      <c r="D43" s="14" t="s">
        <v>58</v>
      </c>
    </row>
    <row r="44" customFormat="false" ht="15" hidden="false" customHeight="true" outlineLevel="0" collapsed="false">
      <c r="A44" s="13" t="s">
        <v>135</v>
      </c>
      <c r="B44" s="13" t="s">
        <v>136</v>
      </c>
      <c r="C44" s="14" t="s">
        <v>57</v>
      </c>
      <c r="D44" s="14" t="s">
        <v>58</v>
      </c>
    </row>
    <row r="45" customFormat="false" ht="15" hidden="false" customHeight="true" outlineLevel="0" collapsed="false">
      <c r="A45" s="13" t="s">
        <v>137</v>
      </c>
      <c r="B45" s="13" t="s">
        <v>138</v>
      </c>
      <c r="C45" s="14" t="s">
        <v>57</v>
      </c>
      <c r="D45" s="14" t="s">
        <v>58</v>
      </c>
    </row>
    <row r="46" customFormat="false" ht="15" hidden="false" customHeight="true" outlineLevel="0" collapsed="false">
      <c r="A46" s="13" t="s">
        <v>139</v>
      </c>
      <c r="B46" s="13" t="s">
        <v>140</v>
      </c>
      <c r="C46" s="14" t="s">
        <v>57</v>
      </c>
      <c r="D46" s="14" t="s">
        <v>58</v>
      </c>
    </row>
    <row r="47" customFormat="false" ht="15" hidden="false" customHeight="true" outlineLevel="0" collapsed="false">
      <c r="A47" s="13" t="s">
        <v>141</v>
      </c>
      <c r="B47" s="13" t="s">
        <v>142</v>
      </c>
      <c r="C47" s="14" t="s">
        <v>57</v>
      </c>
      <c r="D47" s="14" t="s">
        <v>58</v>
      </c>
    </row>
    <row r="48" customFormat="false" ht="15" hidden="false" customHeight="true" outlineLevel="0" collapsed="false">
      <c r="A48" s="13" t="s">
        <v>143</v>
      </c>
      <c r="B48" s="13" t="s">
        <v>144</v>
      </c>
      <c r="C48" s="14" t="s">
        <v>57</v>
      </c>
      <c r="D48" s="14" t="s">
        <v>58</v>
      </c>
    </row>
    <row r="49" customFormat="false" ht="15" hidden="false" customHeight="true" outlineLevel="0" collapsed="false">
      <c r="A49" s="13" t="s">
        <v>145</v>
      </c>
      <c r="B49" s="13" t="s">
        <v>146</v>
      </c>
      <c r="C49" s="14" t="s">
        <v>57</v>
      </c>
      <c r="D49" s="14" t="s">
        <v>58</v>
      </c>
    </row>
    <row r="50" customFormat="false" ht="15" hidden="false" customHeight="true" outlineLevel="0" collapsed="false">
      <c r="A50" s="13" t="s">
        <v>147</v>
      </c>
      <c r="B50" s="13" t="s">
        <v>148</v>
      </c>
      <c r="C50" s="14" t="s">
        <v>57</v>
      </c>
      <c r="D50" s="14" t="s">
        <v>58</v>
      </c>
    </row>
    <row r="51" customFormat="false" ht="15" hidden="false" customHeight="true" outlineLevel="0" collapsed="false">
      <c r="A51" s="13" t="s">
        <v>149</v>
      </c>
      <c r="B51" s="13" t="s">
        <v>150</v>
      </c>
      <c r="C51" s="14" t="s">
        <v>57</v>
      </c>
      <c r="D51" s="14" t="s">
        <v>58</v>
      </c>
    </row>
    <row r="52" customFormat="false" ht="15" hidden="false" customHeight="true" outlineLevel="0" collapsed="false">
      <c r="A52" s="13" t="s">
        <v>151</v>
      </c>
      <c r="B52" s="13" t="s">
        <v>152</v>
      </c>
      <c r="C52" s="14" t="s">
        <v>57</v>
      </c>
      <c r="D52" s="14" t="s">
        <v>58</v>
      </c>
    </row>
    <row r="53" customFormat="false" ht="15" hidden="false" customHeight="true" outlineLevel="0" collapsed="false">
      <c r="A53" s="13" t="s">
        <v>153</v>
      </c>
      <c r="B53" s="13" t="s">
        <v>154</v>
      </c>
      <c r="C53" s="14" t="s">
        <v>57</v>
      </c>
      <c r="D53" s="14" t="s">
        <v>58</v>
      </c>
    </row>
    <row r="54" customFormat="false" ht="15" hidden="false" customHeight="true" outlineLevel="0" collapsed="false">
      <c r="A54" s="13" t="s">
        <v>155</v>
      </c>
      <c r="B54" s="13" t="s">
        <v>156</v>
      </c>
      <c r="C54" s="14" t="s">
        <v>57</v>
      </c>
      <c r="D54" s="14" t="s">
        <v>58</v>
      </c>
    </row>
    <row r="55" customFormat="false" ht="15" hidden="false" customHeight="true" outlineLevel="0" collapsed="false">
      <c r="A55" s="13" t="s">
        <v>157</v>
      </c>
      <c r="B55" s="13" t="s">
        <v>158</v>
      </c>
      <c r="C55" s="14" t="s">
        <v>57</v>
      </c>
      <c r="D55" s="14" t="s">
        <v>58</v>
      </c>
    </row>
    <row r="56" customFormat="false" ht="15" hidden="false" customHeight="true" outlineLevel="0" collapsed="false">
      <c r="A56" s="13" t="s">
        <v>159</v>
      </c>
      <c r="B56" s="13" t="s">
        <v>160</v>
      </c>
      <c r="C56" s="14" t="s">
        <v>57</v>
      </c>
      <c r="D56" s="14" t="s">
        <v>58</v>
      </c>
    </row>
  </sheetData>
  <sheetProtection sheet="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3"/>
    <col collapsed="false" customWidth="true" hidden="false" outlineLevel="0" max="3" min="3" style="1" width="8"/>
    <col collapsed="false" customWidth="true" hidden="false" outlineLevel="0" max="4" min="4" style="1" width="13"/>
    <col collapsed="false" customWidth="true" hidden="false" outlineLevel="0" max="5" min="5" style="1" width="8"/>
    <col collapsed="false" customWidth="true" hidden="false" outlineLevel="0" max="6" min="6" style="1" width="13"/>
    <col collapsed="false" customWidth="true" hidden="false" outlineLevel="0" max="7" min="7" style="1" width="8"/>
    <col collapsed="false" customWidth="true" hidden="false" outlineLevel="0" max="8" min="8" style="1" width="13"/>
    <col collapsed="false" customWidth="true" hidden="false" outlineLevel="0" max="9" min="9" style="1" width="8"/>
    <col collapsed="false" customWidth="true" hidden="false" outlineLevel="0" max="10" min="10" style="1" width="13"/>
  </cols>
  <sheetData>
    <row r="1" customFormat="false" ht="17.25" hidden="false" customHeight="true" outlineLevel="0" collapsed="false">
      <c r="A1" s="2" t="s">
        <v>161</v>
      </c>
    </row>
    <row r="2" customFormat="false" ht="15" hidden="false" customHeight="true" outlineLevel="0" collapsed="false">
      <c r="A2" s="11" t="s">
        <v>162</v>
      </c>
    </row>
    <row r="4" customFormat="false" ht="15" hidden="false" customHeight="true" outlineLevel="0" collapsed="false">
      <c r="A4" s="12" t="s">
        <v>163</v>
      </c>
      <c r="B4" s="12"/>
      <c r="C4" s="12" t="s">
        <v>164</v>
      </c>
      <c r="D4" s="12"/>
      <c r="E4" s="12" t="s">
        <v>165</v>
      </c>
      <c r="F4" s="12"/>
      <c r="G4" s="12" t="s">
        <v>166</v>
      </c>
      <c r="H4" s="12"/>
      <c r="I4" s="12" t="s">
        <v>167</v>
      </c>
      <c r="J4" s="12"/>
    </row>
    <row r="5" customFormat="false" ht="15" hidden="false" customHeight="true" outlineLevel="0" collapsed="false">
      <c r="A5" s="15" t="s">
        <v>51</v>
      </c>
      <c r="B5" s="15" t="s">
        <v>52</v>
      </c>
      <c r="C5" s="15" t="s">
        <v>51</v>
      </c>
      <c r="D5" s="15" t="s">
        <v>52</v>
      </c>
      <c r="E5" s="15" t="s">
        <v>51</v>
      </c>
      <c r="F5" s="15" t="s">
        <v>52</v>
      </c>
      <c r="G5" s="15" t="s">
        <v>51</v>
      </c>
      <c r="H5" s="15" t="s">
        <v>52</v>
      </c>
      <c r="I5" s="15" t="s">
        <v>51</v>
      </c>
      <c r="J5" s="15" t="s">
        <v>52</v>
      </c>
    </row>
    <row r="6" customFormat="false" ht="15" hidden="false" customHeight="true" outlineLevel="0" collapsed="false">
      <c r="A6" s="16" t="s">
        <v>65</v>
      </c>
      <c r="B6" s="16" t="s">
        <v>66</v>
      </c>
      <c r="C6" s="16" t="s">
        <v>59</v>
      </c>
      <c r="D6" s="16" t="s">
        <v>60</v>
      </c>
      <c r="E6" s="16" t="s">
        <v>63</v>
      </c>
      <c r="F6" s="16" t="s">
        <v>64</v>
      </c>
      <c r="G6" s="16" t="s">
        <v>55</v>
      </c>
      <c r="H6" s="16" t="s">
        <v>56</v>
      </c>
      <c r="I6" s="16" t="s">
        <v>69</v>
      </c>
      <c r="J6" s="16" t="s">
        <v>70</v>
      </c>
    </row>
    <row r="7" customFormat="false" ht="15" hidden="false" customHeight="true" outlineLevel="0" collapsed="false">
      <c r="A7" s="16" t="s">
        <v>75</v>
      </c>
      <c r="B7" s="16" t="s">
        <v>76</v>
      </c>
      <c r="C7" s="16" t="s">
        <v>61</v>
      </c>
      <c r="D7" s="16" t="s">
        <v>62</v>
      </c>
      <c r="E7" s="16" t="s">
        <v>77</v>
      </c>
      <c r="F7" s="16" t="s">
        <v>78</v>
      </c>
      <c r="G7" s="16" t="s">
        <v>67</v>
      </c>
      <c r="H7" s="16" t="s">
        <v>68</v>
      </c>
      <c r="I7" s="16" t="s">
        <v>71</v>
      </c>
      <c r="J7" s="16" t="s">
        <v>72</v>
      </c>
    </row>
    <row r="8" customFormat="false" ht="15" hidden="false" customHeight="true" outlineLevel="0" collapsed="false">
      <c r="A8" s="16" t="s">
        <v>83</v>
      </c>
      <c r="B8" s="16" t="s">
        <v>84</v>
      </c>
      <c r="C8" s="16" t="s">
        <v>73</v>
      </c>
      <c r="D8" s="16" t="s">
        <v>74</v>
      </c>
      <c r="E8" s="16" t="s">
        <v>93</v>
      </c>
      <c r="F8" s="16" t="s">
        <v>94</v>
      </c>
      <c r="G8" s="16" t="s">
        <v>87</v>
      </c>
      <c r="H8" s="16" t="s">
        <v>88</v>
      </c>
      <c r="I8" s="16" t="s">
        <v>85</v>
      </c>
      <c r="J8" s="16" t="s">
        <v>86</v>
      </c>
    </row>
    <row r="9" customFormat="false" ht="15" hidden="false" customHeight="true" outlineLevel="0" collapsed="false">
      <c r="A9" s="16" t="s">
        <v>89</v>
      </c>
      <c r="B9" s="16" t="s">
        <v>90</v>
      </c>
      <c r="C9" s="16" t="s">
        <v>79</v>
      </c>
      <c r="D9" s="16" t="s">
        <v>80</v>
      </c>
      <c r="E9" s="16" t="s">
        <v>99</v>
      </c>
      <c r="F9" s="16" t="s">
        <v>100</v>
      </c>
      <c r="G9" s="16" t="s">
        <v>109</v>
      </c>
      <c r="H9" s="16" t="s">
        <v>110</v>
      </c>
      <c r="I9" s="16" t="s">
        <v>97</v>
      </c>
      <c r="J9" s="16" t="s">
        <v>98</v>
      </c>
    </row>
    <row r="10" customFormat="false" ht="15" hidden="false" customHeight="true" outlineLevel="0" collapsed="false">
      <c r="A10" s="16" t="s">
        <v>101</v>
      </c>
      <c r="B10" s="16" t="s">
        <v>102</v>
      </c>
      <c r="C10" s="16" t="s">
        <v>81</v>
      </c>
      <c r="D10" s="16" t="s">
        <v>82</v>
      </c>
      <c r="E10" s="16" t="s">
        <v>107</v>
      </c>
      <c r="F10" s="16" t="s">
        <v>108</v>
      </c>
      <c r="G10" s="16" t="s">
        <v>113</v>
      </c>
      <c r="H10" s="16" t="s">
        <v>114</v>
      </c>
      <c r="I10" s="16" t="s">
        <v>121</v>
      </c>
      <c r="J10" s="16" t="s">
        <v>122</v>
      </c>
    </row>
    <row r="11" customFormat="false" ht="15" hidden="false" customHeight="true" outlineLevel="0" collapsed="false">
      <c r="A11" s="16" t="s">
        <v>103</v>
      </c>
      <c r="B11" s="16" t="s">
        <v>104</v>
      </c>
      <c r="C11" s="16" t="s">
        <v>91</v>
      </c>
      <c r="D11" s="16" t="s">
        <v>92</v>
      </c>
      <c r="E11" s="16" t="s">
        <v>117</v>
      </c>
      <c r="F11" s="16" t="s">
        <v>118</v>
      </c>
      <c r="G11" s="16" t="s">
        <v>119</v>
      </c>
      <c r="H11" s="16" t="s">
        <v>120</v>
      </c>
      <c r="I11" s="16" t="s">
        <v>127</v>
      </c>
      <c r="J11" s="16" t="s">
        <v>128</v>
      </c>
    </row>
    <row r="12" customFormat="false" ht="15" hidden="false" customHeight="true" outlineLevel="0" collapsed="false">
      <c r="A12" s="16" t="s">
        <v>105</v>
      </c>
      <c r="B12" s="16" t="s">
        <v>106</v>
      </c>
      <c r="C12" s="16" t="s">
        <v>95</v>
      </c>
      <c r="D12" s="16" t="s">
        <v>96</v>
      </c>
      <c r="E12" s="16" t="s">
        <v>125</v>
      </c>
      <c r="F12" s="16" t="s">
        <v>126</v>
      </c>
      <c r="G12" s="16" t="s">
        <v>129</v>
      </c>
      <c r="H12" s="16" t="s">
        <v>130</v>
      </c>
      <c r="I12" s="16" t="s">
        <v>133</v>
      </c>
      <c r="J12" s="16" t="s">
        <v>134</v>
      </c>
    </row>
    <row r="13" customFormat="false" ht="15" hidden="false" customHeight="true" outlineLevel="0" collapsed="false">
      <c r="A13" s="16" t="s">
        <v>111</v>
      </c>
      <c r="B13" s="16" t="s">
        <v>112</v>
      </c>
      <c r="C13" s="16" t="s">
        <v>123</v>
      </c>
      <c r="D13" s="16" t="s">
        <v>124</v>
      </c>
      <c r="E13" s="16" t="s">
        <v>143</v>
      </c>
      <c r="F13" s="16" t="s">
        <v>144</v>
      </c>
      <c r="G13" s="16" t="s">
        <v>131</v>
      </c>
      <c r="H13" s="16" t="s">
        <v>132</v>
      </c>
      <c r="I13" s="16" t="s">
        <v>135</v>
      </c>
      <c r="J13" s="16" t="s">
        <v>136</v>
      </c>
    </row>
    <row r="14" customFormat="false" ht="15" hidden="false" customHeight="true" outlineLevel="0" collapsed="false">
      <c r="A14" s="16" t="s">
        <v>115</v>
      </c>
      <c r="B14" s="16" t="s">
        <v>116</v>
      </c>
      <c r="C14" s="16" t="s">
        <v>137</v>
      </c>
      <c r="D14" s="16" t="s">
        <v>138</v>
      </c>
      <c r="E14" s="16" t="s">
        <v>147</v>
      </c>
      <c r="F14" s="16" t="s">
        <v>148</v>
      </c>
      <c r="G14" s="16" t="s">
        <v>141</v>
      </c>
      <c r="H14" s="16" t="s">
        <v>142</v>
      </c>
      <c r="I14" s="16" t="s">
        <v>139</v>
      </c>
      <c r="J14" s="16" t="s">
        <v>140</v>
      </c>
    </row>
    <row r="15" customFormat="false" ht="15" hidden="false" customHeight="true" outlineLevel="0" collapsed="false">
      <c r="A15" s="16" t="s">
        <v>153</v>
      </c>
      <c r="B15" s="16" t="s">
        <v>154</v>
      </c>
      <c r="C15" s="16" t="s">
        <v>145</v>
      </c>
      <c r="D15" s="16" t="s">
        <v>146</v>
      </c>
      <c r="E15" s="16" t="s">
        <v>149</v>
      </c>
      <c r="F15" s="16" t="s">
        <v>150</v>
      </c>
      <c r="G15" s="16" t="s">
        <v>159</v>
      </c>
      <c r="H15" s="16" t="s">
        <v>160</v>
      </c>
      <c r="I15" s="16" t="s">
        <v>155</v>
      </c>
      <c r="J15" s="16" t="s">
        <v>156</v>
      </c>
    </row>
    <row r="16" customFormat="false" ht="15" hidden="false" customHeight="true" outlineLevel="0" collapsed="false">
      <c r="A16" s="17" t="s">
        <v>168</v>
      </c>
      <c r="B16" s="18"/>
      <c r="C16" s="16" t="s">
        <v>157</v>
      </c>
      <c r="D16" s="16" t="s">
        <v>158</v>
      </c>
      <c r="E16" s="16" t="s">
        <v>151</v>
      </c>
      <c r="F16" s="16" t="s">
        <v>152</v>
      </c>
      <c r="G16" s="17" t="s">
        <v>168</v>
      </c>
      <c r="H16" s="18"/>
      <c r="I16" s="17" t="s">
        <v>168</v>
      </c>
      <c r="J16" s="18"/>
    </row>
    <row r="17" customFormat="false" ht="15" hidden="false" customHeight="true" outlineLevel="0" collapsed="false">
      <c r="C17" s="17" t="s">
        <v>168</v>
      </c>
      <c r="D17" s="18"/>
      <c r="E17" s="17" t="s">
        <v>168</v>
      </c>
      <c r="F17" s="18"/>
    </row>
    <row r="19" customFormat="false" ht="16.5" hidden="false" customHeight="true" outlineLevel="0" collapsed="false">
      <c r="A19" s="5" t="s">
        <v>169</v>
      </c>
    </row>
    <row r="20" customFormat="false" ht="25.5" hidden="false" customHeight="true" outlineLevel="0" collapsed="false">
      <c r="A20" s="19" t="s">
        <v>170</v>
      </c>
      <c r="B20" s="19"/>
      <c r="C20" s="19"/>
      <c r="D20" s="19"/>
      <c r="E20" s="19"/>
      <c r="F20" s="19"/>
      <c r="G20" s="19"/>
      <c r="H20" s="19"/>
      <c r="I20" s="19"/>
      <c r="J20" s="19"/>
    </row>
    <row r="21" customFormat="false" ht="25.5" hidden="false" customHeight="true" outlineLevel="0" collapsed="false">
      <c r="A21" s="19" t="s">
        <v>171</v>
      </c>
      <c r="B21" s="19"/>
      <c r="C21" s="19"/>
      <c r="D21" s="19"/>
      <c r="E21" s="19"/>
      <c r="F21" s="19"/>
      <c r="G21" s="19"/>
      <c r="H21" s="19"/>
      <c r="I21" s="19"/>
      <c r="J21" s="19"/>
    </row>
    <row r="22" customFormat="false" ht="25.5" hidden="false" customHeight="true" outlineLevel="0" collapsed="false">
      <c r="A22" s="19" t="s">
        <v>172</v>
      </c>
      <c r="B22" s="19"/>
      <c r="C22" s="19"/>
      <c r="D22" s="19"/>
      <c r="E22" s="19"/>
      <c r="F22" s="19"/>
      <c r="G22" s="19"/>
      <c r="H22" s="19"/>
      <c r="I22" s="19"/>
      <c r="J22" s="19"/>
    </row>
    <row r="23" customFormat="false" ht="25.5" hidden="false" customHeight="true" outlineLevel="0" collapsed="false">
      <c r="A23" s="19" t="s">
        <v>173</v>
      </c>
      <c r="B23" s="19"/>
      <c r="C23" s="19"/>
      <c r="D23" s="19"/>
      <c r="E23" s="19"/>
      <c r="F23" s="19"/>
      <c r="G23" s="19"/>
      <c r="H23" s="19"/>
      <c r="I23" s="19"/>
      <c r="J23" s="19"/>
    </row>
    <row r="24" customFormat="false" ht="25.5" hidden="false" customHeight="true" outlineLevel="0" collapsed="false">
      <c r="A24" s="19" t="s">
        <v>174</v>
      </c>
      <c r="B24" s="19"/>
      <c r="C24" s="19"/>
      <c r="D24" s="19"/>
      <c r="E24" s="19"/>
      <c r="F24" s="19"/>
      <c r="G24" s="19"/>
      <c r="H24" s="19"/>
      <c r="I24" s="19"/>
      <c r="J24" s="19"/>
    </row>
  </sheetData>
  <sheetProtection sheet="true"/>
  <mergeCells count="10">
    <mergeCell ref="A4:B4"/>
    <mergeCell ref="C4:D4"/>
    <mergeCell ref="E4:F4"/>
    <mergeCell ref="G4:H4"/>
    <mergeCell ref="I4:J4"/>
    <mergeCell ref="A20:J20"/>
    <mergeCell ref="A21:J21"/>
    <mergeCell ref="A22:J22"/>
    <mergeCell ref="A23:J23"/>
    <mergeCell ref="A24:J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46"/>
    <col collapsed="false" customWidth="true" hidden="false" outlineLevel="0" max="3" min="3" style="1" width="11"/>
    <col collapsed="false" customWidth="true" hidden="false" outlineLevel="0" max="6" min="4" style="1" width="9"/>
    <col collapsed="false" customWidth="true" hidden="false" outlineLevel="0" max="7" min="7" style="1" width="26"/>
  </cols>
  <sheetData>
    <row r="1" customFormat="false" ht="21" hidden="false" customHeight="true" outlineLevel="0" collapsed="false">
      <c r="A1" s="2" t="s">
        <v>175</v>
      </c>
    </row>
    <row r="2" customFormat="false" ht="15" hidden="false" customHeight="true" outlineLevel="0" collapsed="false">
      <c r="A2" s="11" t="s">
        <v>176</v>
      </c>
    </row>
    <row r="4" customFormat="false" ht="15" hidden="false" customHeight="true" outlineLevel="0" collapsed="false">
      <c r="A4" s="12" t="s">
        <v>177</v>
      </c>
      <c r="B4" s="12" t="s">
        <v>178</v>
      </c>
      <c r="C4" s="12" t="s">
        <v>179</v>
      </c>
      <c r="D4" s="12" t="s">
        <v>180</v>
      </c>
      <c r="E4" s="12" t="s">
        <v>181</v>
      </c>
      <c r="F4" s="12" t="s">
        <v>182</v>
      </c>
      <c r="G4" s="12" t="s">
        <v>183</v>
      </c>
    </row>
    <row r="5" customFormat="false" ht="15" hidden="false" customHeight="true" outlineLevel="0" collapsed="false">
      <c r="A5" s="20" t="s">
        <v>184</v>
      </c>
      <c r="B5" s="20" t="s">
        <v>185</v>
      </c>
      <c r="C5" s="20" t="s">
        <v>186</v>
      </c>
      <c r="D5" s="20" t="n">
        <v>5</v>
      </c>
      <c r="E5" s="20" t="n">
        <v>18</v>
      </c>
      <c r="F5" s="21" t="s">
        <v>187</v>
      </c>
      <c r="G5" s="22"/>
    </row>
    <row r="6" customFormat="false" ht="15" hidden="false" customHeight="true" outlineLevel="0" collapsed="false">
      <c r="A6" s="20" t="s">
        <v>184</v>
      </c>
      <c r="B6" s="20" t="s">
        <v>188</v>
      </c>
      <c r="C6" s="20" t="s">
        <v>189</v>
      </c>
      <c r="D6" s="20" t="n">
        <v>4</v>
      </c>
      <c r="E6" s="20" t="n">
        <v>3</v>
      </c>
      <c r="F6" s="21" t="s">
        <v>187</v>
      </c>
      <c r="G6" s="22"/>
    </row>
    <row r="7" customFormat="false" ht="26.25" hidden="false" customHeight="true" outlineLevel="0" collapsed="false">
      <c r="A7" s="20" t="s">
        <v>184</v>
      </c>
      <c r="B7" s="20" t="s">
        <v>190</v>
      </c>
      <c r="C7" s="20" t="s">
        <v>189</v>
      </c>
      <c r="D7" s="20" t="n">
        <v>4</v>
      </c>
      <c r="E7" s="20" t="n">
        <v>8</v>
      </c>
      <c r="F7" s="21" t="s">
        <v>187</v>
      </c>
      <c r="G7" s="22"/>
    </row>
    <row r="8" customFormat="false" ht="15" hidden="false" customHeight="true" outlineLevel="0" collapsed="false">
      <c r="A8" s="20" t="s">
        <v>184</v>
      </c>
      <c r="B8" s="20" t="s">
        <v>191</v>
      </c>
      <c r="C8" s="20" t="s">
        <v>186</v>
      </c>
      <c r="D8" s="20" t="n">
        <v>4</v>
      </c>
      <c r="E8" s="20" t="n">
        <v>40</v>
      </c>
      <c r="F8" s="21" t="s">
        <v>187</v>
      </c>
      <c r="G8" s="22"/>
    </row>
    <row r="9" customFormat="false" ht="26.25" hidden="false" customHeight="true" outlineLevel="0" collapsed="false">
      <c r="A9" s="20" t="s">
        <v>184</v>
      </c>
      <c r="B9" s="20" t="s">
        <v>192</v>
      </c>
      <c r="C9" s="20" t="s">
        <v>189</v>
      </c>
      <c r="D9" s="20" t="n">
        <v>3</v>
      </c>
      <c r="E9" s="20" t="n">
        <v>2</v>
      </c>
      <c r="F9" s="20"/>
      <c r="G9" s="22"/>
    </row>
    <row r="10" customFormat="false" ht="26.25" hidden="false" customHeight="true" outlineLevel="0" collapsed="false">
      <c r="A10" s="20" t="s">
        <v>184</v>
      </c>
      <c r="B10" s="20" t="s">
        <v>193</v>
      </c>
      <c r="C10" s="20" t="s">
        <v>189</v>
      </c>
      <c r="D10" s="20" t="n">
        <v>3</v>
      </c>
      <c r="E10" s="20" t="n">
        <v>3</v>
      </c>
      <c r="F10" s="20"/>
      <c r="G10" s="22"/>
    </row>
    <row r="11" customFormat="false" ht="15" hidden="false" customHeight="true" outlineLevel="0" collapsed="false">
      <c r="A11" s="20" t="s">
        <v>184</v>
      </c>
      <c r="B11" s="20" t="s">
        <v>194</v>
      </c>
      <c r="C11" s="20" t="s">
        <v>189</v>
      </c>
      <c r="D11" s="20" t="n">
        <v>3</v>
      </c>
      <c r="E11" s="20" t="n">
        <v>5</v>
      </c>
      <c r="F11" s="20"/>
      <c r="G11" s="22"/>
    </row>
    <row r="12" customFormat="false" ht="15" hidden="false" customHeight="true" outlineLevel="0" collapsed="false">
      <c r="A12" s="20" t="s">
        <v>184</v>
      </c>
      <c r="B12" s="20" t="s">
        <v>195</v>
      </c>
      <c r="C12" s="20" t="s">
        <v>186</v>
      </c>
      <c r="D12" s="20" t="n">
        <v>3</v>
      </c>
      <c r="E12" s="20" t="n">
        <v>20</v>
      </c>
      <c r="F12" s="20"/>
      <c r="G12" s="22"/>
    </row>
    <row r="13" customFormat="false" ht="15" hidden="false" customHeight="true" outlineLevel="0" collapsed="false">
      <c r="A13" s="20" t="s">
        <v>184</v>
      </c>
      <c r="B13" s="20" t="s">
        <v>196</v>
      </c>
      <c r="C13" s="20" t="s">
        <v>186</v>
      </c>
      <c r="D13" s="20" t="n">
        <v>3</v>
      </c>
      <c r="E13" s="20" t="n">
        <v>40</v>
      </c>
      <c r="F13" s="20"/>
      <c r="G13" s="22"/>
    </row>
    <row r="14" customFormat="false" ht="26.25" hidden="false" customHeight="true" outlineLevel="0" collapsed="false">
      <c r="A14" s="20" t="s">
        <v>184</v>
      </c>
      <c r="B14" s="20" t="s">
        <v>197</v>
      </c>
      <c r="C14" s="20" t="s">
        <v>189</v>
      </c>
      <c r="D14" s="20" t="n">
        <v>2</v>
      </c>
      <c r="E14" s="20" t="n">
        <v>1</v>
      </c>
      <c r="F14" s="20"/>
      <c r="G14" s="22"/>
    </row>
    <row r="15" customFormat="false" ht="15" hidden="false" customHeight="true" outlineLevel="0" collapsed="false">
      <c r="A15" s="20" t="s">
        <v>184</v>
      </c>
      <c r="B15" s="20" t="s">
        <v>198</v>
      </c>
      <c r="C15" s="20" t="s">
        <v>199</v>
      </c>
      <c r="D15" s="20" t="n">
        <v>2</v>
      </c>
      <c r="E15" s="20" t="n">
        <v>2</v>
      </c>
      <c r="F15" s="20"/>
      <c r="G15" s="22"/>
    </row>
    <row r="16" customFormat="false" ht="15" hidden="false" customHeight="true" outlineLevel="0" collapsed="false">
      <c r="A16" s="20" t="s">
        <v>184</v>
      </c>
      <c r="B16" s="20" t="s">
        <v>200</v>
      </c>
      <c r="C16" s="20" t="s">
        <v>189</v>
      </c>
      <c r="D16" s="20" t="n">
        <v>2</v>
      </c>
      <c r="E16" s="20" t="n">
        <v>5</v>
      </c>
      <c r="F16" s="20"/>
      <c r="G16" s="22"/>
    </row>
    <row r="17" customFormat="false" ht="15" hidden="false" customHeight="true" outlineLevel="0" collapsed="false">
      <c r="A17" s="20" t="s">
        <v>184</v>
      </c>
      <c r="B17" s="20" t="s">
        <v>201</v>
      </c>
      <c r="C17" s="20" t="s">
        <v>189</v>
      </c>
      <c r="D17" s="20" t="n">
        <v>2</v>
      </c>
      <c r="E17" s="20" t="n">
        <v>10</v>
      </c>
      <c r="F17" s="20"/>
      <c r="G17" s="22"/>
    </row>
    <row r="18" customFormat="false" ht="15" hidden="false" customHeight="true" outlineLevel="0" collapsed="false">
      <c r="A18" s="20" t="s">
        <v>184</v>
      </c>
      <c r="B18" s="20" t="s">
        <v>202</v>
      </c>
      <c r="C18" s="20" t="s">
        <v>189</v>
      </c>
      <c r="D18" s="20" t="n">
        <v>1</v>
      </c>
      <c r="E18" s="20" t="n">
        <v>1</v>
      </c>
      <c r="F18" s="20"/>
      <c r="G18" s="22"/>
    </row>
    <row r="19" customFormat="false" ht="15" hidden="false" customHeight="true" outlineLevel="0" collapsed="false">
      <c r="A19" s="20" t="s">
        <v>184</v>
      </c>
      <c r="B19" s="20" t="s">
        <v>203</v>
      </c>
      <c r="C19" s="20" t="s">
        <v>189</v>
      </c>
      <c r="D19" s="20" t="n">
        <v>1</v>
      </c>
      <c r="E19" s="20" t="n">
        <v>2</v>
      </c>
      <c r="F19" s="20"/>
      <c r="G19" s="22"/>
    </row>
    <row r="20" customFormat="false" ht="15" hidden="false" customHeight="true" outlineLevel="0" collapsed="false">
      <c r="A20" s="20" t="s">
        <v>184</v>
      </c>
      <c r="B20" s="20" t="s">
        <v>204</v>
      </c>
      <c r="C20" s="20" t="s">
        <v>189</v>
      </c>
      <c r="D20" s="20" t="n">
        <v>1</v>
      </c>
      <c r="E20" s="20" t="n">
        <v>2</v>
      </c>
      <c r="F20" s="20"/>
      <c r="G20" s="22"/>
    </row>
    <row r="21" customFormat="false" ht="15" hidden="false" customHeight="true" outlineLevel="0" collapsed="false">
      <c r="A21" s="23"/>
      <c r="B21" s="24" t="s">
        <v>205</v>
      </c>
      <c r="C21" s="23"/>
      <c r="D21" s="23"/>
      <c r="E21" s="23"/>
      <c r="F21" s="23"/>
      <c r="G21" s="23"/>
    </row>
    <row r="23" customFormat="false" ht="15" hidden="false" customHeight="true" outlineLevel="0" collapsed="false">
      <c r="A23" s="20" t="s">
        <v>206</v>
      </c>
      <c r="B23" s="20" t="s">
        <v>207</v>
      </c>
      <c r="C23" s="20" t="s">
        <v>208</v>
      </c>
      <c r="D23" s="20" t="n">
        <v>4</v>
      </c>
      <c r="E23" s="20" t="n">
        <v>15</v>
      </c>
      <c r="F23" s="21" t="s">
        <v>187</v>
      </c>
      <c r="G23" s="22"/>
    </row>
    <row r="24" customFormat="false" ht="15" hidden="false" customHeight="true" outlineLevel="0" collapsed="false">
      <c r="A24" s="20" t="s">
        <v>206</v>
      </c>
      <c r="B24" s="20" t="s">
        <v>209</v>
      </c>
      <c r="C24" s="20" t="s">
        <v>208</v>
      </c>
      <c r="D24" s="20" t="n">
        <v>4</v>
      </c>
      <c r="E24" s="20" t="n">
        <v>20</v>
      </c>
      <c r="F24" s="21" t="s">
        <v>187</v>
      </c>
      <c r="G24" s="22"/>
    </row>
    <row r="25" customFormat="false" ht="15" hidden="false" customHeight="true" outlineLevel="0" collapsed="false">
      <c r="A25" s="20" t="s">
        <v>206</v>
      </c>
      <c r="B25" s="20" t="s">
        <v>210</v>
      </c>
      <c r="C25" s="20" t="s">
        <v>199</v>
      </c>
      <c r="D25" s="20" t="n">
        <v>4</v>
      </c>
      <c r="E25" s="20" t="n">
        <v>40</v>
      </c>
      <c r="F25" s="21" t="s">
        <v>187</v>
      </c>
      <c r="G25" s="22"/>
    </row>
    <row r="26" customFormat="false" ht="15" hidden="false" customHeight="true" outlineLevel="0" collapsed="false">
      <c r="A26" s="20" t="s">
        <v>206</v>
      </c>
      <c r="B26" s="20" t="s">
        <v>211</v>
      </c>
      <c r="C26" s="20" t="s">
        <v>212</v>
      </c>
      <c r="D26" s="20" t="n">
        <v>3</v>
      </c>
      <c r="E26" s="20" t="n">
        <v>3</v>
      </c>
      <c r="F26" s="20"/>
      <c r="G26" s="22"/>
    </row>
    <row r="27" customFormat="false" ht="15" hidden="false" customHeight="true" outlineLevel="0" collapsed="false">
      <c r="A27" s="20" t="s">
        <v>206</v>
      </c>
      <c r="B27" s="20" t="s">
        <v>213</v>
      </c>
      <c r="C27" s="20" t="s">
        <v>186</v>
      </c>
      <c r="D27" s="20" t="n">
        <v>3</v>
      </c>
      <c r="E27" s="20" t="n">
        <v>5</v>
      </c>
      <c r="F27" s="20"/>
      <c r="G27" s="22"/>
    </row>
    <row r="28" customFormat="false" ht="15" hidden="false" customHeight="true" outlineLevel="0" collapsed="false">
      <c r="A28" s="20" t="s">
        <v>206</v>
      </c>
      <c r="B28" s="20" t="s">
        <v>214</v>
      </c>
      <c r="C28" s="20" t="s">
        <v>199</v>
      </c>
      <c r="D28" s="20" t="n">
        <v>3</v>
      </c>
      <c r="E28" s="20" t="n">
        <v>5</v>
      </c>
      <c r="F28" s="20"/>
      <c r="G28" s="22"/>
    </row>
    <row r="29" customFormat="false" ht="15" hidden="false" customHeight="true" outlineLevel="0" collapsed="false">
      <c r="A29" s="20" t="s">
        <v>206</v>
      </c>
      <c r="B29" s="20" t="s">
        <v>215</v>
      </c>
      <c r="C29" s="20" t="s">
        <v>189</v>
      </c>
      <c r="D29" s="20" t="n">
        <v>3</v>
      </c>
      <c r="E29" s="20" t="n">
        <v>10</v>
      </c>
      <c r="F29" s="20"/>
      <c r="G29" s="22"/>
    </row>
    <row r="30" customFormat="false" ht="15" hidden="false" customHeight="true" outlineLevel="0" collapsed="false">
      <c r="A30" s="20" t="s">
        <v>206</v>
      </c>
      <c r="B30" s="20" t="s">
        <v>216</v>
      </c>
      <c r="C30" s="20" t="s">
        <v>186</v>
      </c>
      <c r="D30" s="20" t="n">
        <v>3</v>
      </c>
      <c r="E30" s="20" t="n">
        <v>20</v>
      </c>
      <c r="F30" s="20"/>
      <c r="G30" s="22"/>
    </row>
    <row r="31" customFormat="false" ht="15" hidden="false" customHeight="true" outlineLevel="0" collapsed="false">
      <c r="A31" s="20" t="s">
        <v>206</v>
      </c>
      <c r="B31" s="20" t="s">
        <v>217</v>
      </c>
      <c r="C31" s="20" t="s">
        <v>186</v>
      </c>
      <c r="D31" s="20" t="n">
        <v>3</v>
      </c>
      <c r="E31" s="20" t="n">
        <v>40</v>
      </c>
      <c r="F31" s="20"/>
      <c r="G31" s="22"/>
    </row>
    <row r="32" customFormat="false" ht="15" hidden="false" customHeight="true" outlineLevel="0" collapsed="false">
      <c r="A32" s="20" t="s">
        <v>206</v>
      </c>
      <c r="B32" s="20" t="s">
        <v>218</v>
      </c>
      <c r="C32" s="20" t="s">
        <v>208</v>
      </c>
      <c r="D32" s="20" t="n">
        <v>2</v>
      </c>
      <c r="E32" s="20" t="n">
        <v>2</v>
      </c>
      <c r="F32" s="20"/>
      <c r="G32" s="22"/>
    </row>
    <row r="33" customFormat="false" ht="15" hidden="false" customHeight="true" outlineLevel="0" collapsed="false">
      <c r="A33" s="20" t="s">
        <v>206</v>
      </c>
      <c r="B33" s="20" t="s">
        <v>219</v>
      </c>
      <c r="C33" s="20" t="s">
        <v>189</v>
      </c>
      <c r="D33" s="20" t="n">
        <v>2</v>
      </c>
      <c r="E33" s="20" t="n">
        <v>4</v>
      </c>
      <c r="F33" s="20"/>
      <c r="G33" s="22"/>
    </row>
    <row r="34" customFormat="false" ht="15" hidden="false" customHeight="true" outlineLevel="0" collapsed="false">
      <c r="A34" s="20" t="s">
        <v>206</v>
      </c>
      <c r="B34" s="20" t="s">
        <v>220</v>
      </c>
      <c r="C34" s="20" t="s">
        <v>189</v>
      </c>
      <c r="D34" s="20" t="n">
        <v>2</v>
      </c>
      <c r="E34" s="20" t="n">
        <v>8</v>
      </c>
      <c r="F34" s="20"/>
      <c r="G34" s="22"/>
    </row>
    <row r="35" customFormat="false" ht="15" hidden="false" customHeight="true" outlineLevel="0" collapsed="false">
      <c r="A35" s="20" t="s">
        <v>206</v>
      </c>
      <c r="B35" s="20" t="s">
        <v>221</v>
      </c>
      <c r="C35" s="20" t="s">
        <v>189</v>
      </c>
      <c r="D35" s="20" t="n">
        <v>1</v>
      </c>
      <c r="E35" s="20" t="n">
        <v>1</v>
      </c>
      <c r="F35" s="20"/>
      <c r="G35" s="22"/>
    </row>
    <row r="36" customFormat="false" ht="15" hidden="false" customHeight="true" outlineLevel="0" collapsed="false">
      <c r="A36" s="20" t="s">
        <v>206</v>
      </c>
      <c r="B36" s="20" t="s">
        <v>222</v>
      </c>
      <c r="C36" s="20" t="s">
        <v>189</v>
      </c>
      <c r="D36" s="20" t="n">
        <v>1</v>
      </c>
      <c r="E36" s="20" t="n">
        <v>1</v>
      </c>
      <c r="F36" s="20"/>
      <c r="G36" s="22"/>
    </row>
    <row r="37" customFormat="false" ht="26.25" hidden="false" customHeight="true" outlineLevel="0" collapsed="false">
      <c r="A37" s="20" t="s">
        <v>206</v>
      </c>
      <c r="B37" s="20" t="s">
        <v>223</v>
      </c>
      <c r="C37" s="20" t="s">
        <v>208</v>
      </c>
      <c r="D37" s="20" t="n">
        <v>1</v>
      </c>
      <c r="E37" s="20" t="n">
        <v>1</v>
      </c>
      <c r="F37" s="20"/>
      <c r="G37" s="22"/>
    </row>
    <row r="38" customFormat="false" ht="15" hidden="false" customHeight="true" outlineLevel="0" collapsed="false">
      <c r="A38" s="20" t="s">
        <v>206</v>
      </c>
      <c r="B38" s="20" t="s">
        <v>224</v>
      </c>
      <c r="C38" s="20" t="s">
        <v>189</v>
      </c>
      <c r="D38" s="20" t="n">
        <v>1</v>
      </c>
      <c r="E38" s="20" t="n">
        <v>2</v>
      </c>
      <c r="F38" s="20"/>
      <c r="G38" s="22"/>
    </row>
    <row r="39" customFormat="false" ht="15" hidden="false" customHeight="true" outlineLevel="0" collapsed="false">
      <c r="A39" s="20" t="s">
        <v>206</v>
      </c>
      <c r="B39" s="20" t="s">
        <v>225</v>
      </c>
      <c r="C39" s="20" t="s">
        <v>189</v>
      </c>
      <c r="D39" s="20" t="n">
        <v>1</v>
      </c>
      <c r="E39" s="20" t="n">
        <v>2</v>
      </c>
      <c r="F39" s="20"/>
      <c r="G39" s="22"/>
    </row>
    <row r="40" customFormat="false" ht="15" hidden="false" customHeight="true" outlineLevel="0" collapsed="false">
      <c r="A40" s="23"/>
      <c r="B40" s="24" t="s">
        <v>226</v>
      </c>
      <c r="C40" s="23"/>
      <c r="D40" s="23"/>
      <c r="E40" s="23"/>
      <c r="F40" s="23"/>
      <c r="G40" s="23"/>
    </row>
    <row r="42" customFormat="false" ht="15" hidden="false" customHeight="true" outlineLevel="0" collapsed="false">
      <c r="A42" s="20" t="s">
        <v>227</v>
      </c>
      <c r="B42" s="20" t="s">
        <v>228</v>
      </c>
      <c r="C42" s="20" t="s">
        <v>186</v>
      </c>
      <c r="D42" s="20" t="n">
        <v>5</v>
      </c>
      <c r="E42" s="20" t="n">
        <v>30</v>
      </c>
      <c r="F42" s="21" t="s">
        <v>187</v>
      </c>
      <c r="G42" s="22"/>
    </row>
    <row r="43" customFormat="false" ht="26.25" hidden="false" customHeight="true" outlineLevel="0" collapsed="false">
      <c r="A43" s="20" t="s">
        <v>227</v>
      </c>
      <c r="B43" s="20" t="s">
        <v>229</v>
      </c>
      <c r="C43" s="20" t="s">
        <v>189</v>
      </c>
      <c r="D43" s="20" t="n">
        <v>4</v>
      </c>
      <c r="E43" s="20" t="n">
        <v>4</v>
      </c>
      <c r="F43" s="21" t="s">
        <v>187</v>
      </c>
      <c r="G43" s="22"/>
    </row>
    <row r="44" customFormat="false" ht="15" hidden="false" customHeight="true" outlineLevel="0" collapsed="false">
      <c r="A44" s="20" t="s">
        <v>227</v>
      </c>
      <c r="B44" s="20" t="s">
        <v>230</v>
      </c>
      <c r="C44" s="20" t="s">
        <v>186</v>
      </c>
      <c r="D44" s="20" t="n">
        <v>4</v>
      </c>
      <c r="E44" s="20" t="n">
        <v>5</v>
      </c>
      <c r="F44" s="21" t="s">
        <v>187</v>
      </c>
      <c r="G44" s="22"/>
    </row>
    <row r="45" customFormat="false" ht="15" hidden="false" customHeight="true" outlineLevel="0" collapsed="false">
      <c r="A45" s="20" t="s">
        <v>227</v>
      </c>
      <c r="B45" s="20" t="s">
        <v>231</v>
      </c>
      <c r="C45" s="20" t="s">
        <v>189</v>
      </c>
      <c r="D45" s="20" t="n">
        <v>4</v>
      </c>
      <c r="E45" s="20" t="n">
        <v>15</v>
      </c>
      <c r="F45" s="21" t="s">
        <v>187</v>
      </c>
      <c r="G45" s="22"/>
    </row>
    <row r="46" customFormat="false" ht="15" hidden="false" customHeight="true" outlineLevel="0" collapsed="false">
      <c r="A46" s="20" t="s">
        <v>227</v>
      </c>
      <c r="B46" s="20" t="s">
        <v>232</v>
      </c>
      <c r="C46" s="20" t="s">
        <v>199</v>
      </c>
      <c r="D46" s="20" t="n">
        <v>4</v>
      </c>
      <c r="E46" s="20" t="n">
        <v>20</v>
      </c>
      <c r="F46" s="21" t="s">
        <v>187</v>
      </c>
      <c r="G46" s="22"/>
    </row>
    <row r="47" customFormat="false" ht="15" hidden="false" customHeight="true" outlineLevel="0" collapsed="false">
      <c r="A47" s="20" t="s">
        <v>227</v>
      </c>
      <c r="B47" s="20" t="s">
        <v>233</v>
      </c>
      <c r="C47" s="20" t="s">
        <v>199</v>
      </c>
      <c r="D47" s="20" t="n">
        <v>4</v>
      </c>
      <c r="E47" s="20" t="n">
        <v>30</v>
      </c>
      <c r="F47" s="21" t="s">
        <v>187</v>
      </c>
      <c r="G47" s="22"/>
    </row>
    <row r="48" customFormat="false" ht="15" hidden="false" customHeight="true" outlineLevel="0" collapsed="false">
      <c r="A48" s="20" t="s">
        <v>227</v>
      </c>
      <c r="B48" s="20" t="s">
        <v>234</v>
      </c>
      <c r="C48" s="20" t="s">
        <v>189</v>
      </c>
      <c r="D48" s="20" t="n">
        <v>3</v>
      </c>
      <c r="E48" s="20" t="n">
        <v>5</v>
      </c>
      <c r="F48" s="20"/>
      <c r="G48" s="22"/>
    </row>
    <row r="49" customFormat="false" ht="15" hidden="false" customHeight="true" outlineLevel="0" collapsed="false">
      <c r="A49" s="20" t="s">
        <v>227</v>
      </c>
      <c r="B49" s="20" t="s">
        <v>235</v>
      </c>
      <c r="C49" s="20" t="s">
        <v>189</v>
      </c>
      <c r="D49" s="20" t="n">
        <v>3</v>
      </c>
      <c r="E49" s="20" t="n">
        <v>5</v>
      </c>
      <c r="F49" s="20"/>
      <c r="G49" s="22"/>
    </row>
    <row r="50" customFormat="false" ht="15" hidden="false" customHeight="true" outlineLevel="0" collapsed="false">
      <c r="A50" s="20" t="s">
        <v>227</v>
      </c>
      <c r="B50" s="20" t="s">
        <v>236</v>
      </c>
      <c r="C50" s="20" t="s">
        <v>189</v>
      </c>
      <c r="D50" s="20" t="n">
        <v>2</v>
      </c>
      <c r="E50" s="20" t="n">
        <v>0</v>
      </c>
      <c r="F50" s="20"/>
      <c r="G50" s="22"/>
    </row>
    <row r="51" customFormat="false" ht="26.25" hidden="false" customHeight="true" outlineLevel="0" collapsed="false">
      <c r="A51" s="20" t="s">
        <v>227</v>
      </c>
      <c r="B51" s="20" t="s">
        <v>237</v>
      </c>
      <c r="C51" s="20" t="s">
        <v>189</v>
      </c>
      <c r="D51" s="20" t="n">
        <v>2</v>
      </c>
      <c r="E51" s="20" t="n">
        <v>0</v>
      </c>
      <c r="F51" s="20"/>
      <c r="G51" s="22"/>
    </row>
    <row r="52" customFormat="false" ht="26.25" hidden="false" customHeight="true" outlineLevel="0" collapsed="false">
      <c r="A52" s="20" t="s">
        <v>227</v>
      </c>
      <c r="B52" s="20" t="s">
        <v>238</v>
      </c>
      <c r="C52" s="20" t="s">
        <v>189</v>
      </c>
      <c r="D52" s="20" t="n">
        <v>2</v>
      </c>
      <c r="E52" s="20" t="n">
        <v>0</v>
      </c>
      <c r="F52" s="20"/>
      <c r="G52" s="22"/>
    </row>
    <row r="53" customFormat="false" ht="26.25" hidden="false" customHeight="true" outlineLevel="0" collapsed="false">
      <c r="A53" s="20" t="s">
        <v>227</v>
      </c>
      <c r="B53" s="20" t="s">
        <v>239</v>
      </c>
      <c r="C53" s="20" t="s">
        <v>208</v>
      </c>
      <c r="D53" s="20" t="n">
        <v>2</v>
      </c>
      <c r="E53" s="20" t="n">
        <v>2</v>
      </c>
      <c r="F53" s="20"/>
      <c r="G53" s="22"/>
    </row>
    <row r="54" customFormat="false" ht="15" hidden="false" customHeight="true" outlineLevel="0" collapsed="false">
      <c r="A54" s="20" t="s">
        <v>227</v>
      </c>
      <c r="B54" s="20" t="s">
        <v>240</v>
      </c>
      <c r="C54" s="20" t="s">
        <v>189</v>
      </c>
      <c r="D54" s="20" t="n">
        <v>2</v>
      </c>
      <c r="E54" s="20" t="n">
        <v>4</v>
      </c>
      <c r="F54" s="20"/>
      <c r="G54" s="22"/>
    </row>
    <row r="55" customFormat="false" ht="15" hidden="false" customHeight="true" outlineLevel="0" collapsed="false">
      <c r="A55" s="20" t="s">
        <v>227</v>
      </c>
      <c r="B55" s="20" t="s">
        <v>241</v>
      </c>
      <c r="C55" s="20" t="s">
        <v>189</v>
      </c>
      <c r="D55" s="20" t="n">
        <v>2</v>
      </c>
      <c r="E55" s="20" t="n">
        <v>20</v>
      </c>
      <c r="F55" s="20"/>
      <c r="G55" s="22"/>
    </row>
    <row r="56" customFormat="false" ht="15" hidden="false" customHeight="true" outlineLevel="0" collapsed="false">
      <c r="A56" s="20" t="s">
        <v>227</v>
      </c>
      <c r="B56" s="20" t="s">
        <v>242</v>
      </c>
      <c r="C56" s="20" t="s">
        <v>189</v>
      </c>
      <c r="D56" s="20" t="n">
        <v>1</v>
      </c>
      <c r="E56" s="20" t="n">
        <v>0</v>
      </c>
      <c r="F56" s="20"/>
      <c r="G56" s="22"/>
    </row>
    <row r="57" customFormat="false" ht="15" hidden="false" customHeight="true" outlineLevel="0" collapsed="false">
      <c r="A57" s="20" t="s">
        <v>227</v>
      </c>
      <c r="B57" s="20" t="s">
        <v>243</v>
      </c>
      <c r="C57" s="20" t="s">
        <v>189</v>
      </c>
      <c r="D57" s="20" t="n">
        <v>1</v>
      </c>
      <c r="E57" s="20" t="n">
        <v>1</v>
      </c>
      <c r="F57" s="20"/>
      <c r="G57" s="22"/>
    </row>
    <row r="58" customFormat="false" ht="15" hidden="false" customHeight="true" outlineLevel="0" collapsed="false">
      <c r="A58" s="20" t="s">
        <v>227</v>
      </c>
      <c r="B58" s="20" t="s">
        <v>244</v>
      </c>
      <c r="C58" s="20" t="s">
        <v>189</v>
      </c>
      <c r="D58" s="20" t="n">
        <v>1</v>
      </c>
      <c r="E58" s="20" t="n">
        <v>1</v>
      </c>
      <c r="F58" s="20"/>
      <c r="G58" s="22"/>
    </row>
    <row r="59" customFormat="false" ht="15" hidden="false" customHeight="true" outlineLevel="0" collapsed="false">
      <c r="A59" s="20" t="s">
        <v>227</v>
      </c>
      <c r="B59" s="20" t="s">
        <v>245</v>
      </c>
      <c r="C59" s="20" t="s">
        <v>189</v>
      </c>
      <c r="D59" s="20" t="n">
        <v>1</v>
      </c>
      <c r="E59" s="20" t="n">
        <v>1</v>
      </c>
      <c r="F59" s="20"/>
      <c r="G59" s="22"/>
    </row>
    <row r="60" customFormat="false" ht="15" hidden="false" customHeight="true" outlineLevel="0" collapsed="false">
      <c r="A60" s="20" t="s">
        <v>227</v>
      </c>
      <c r="B60" s="20" t="s">
        <v>246</v>
      </c>
      <c r="C60" s="20" t="s">
        <v>189</v>
      </c>
      <c r="D60" s="20" t="n">
        <v>1</v>
      </c>
      <c r="E60" s="20" t="n">
        <v>2</v>
      </c>
      <c r="F60" s="20"/>
      <c r="G60" s="22"/>
    </row>
    <row r="61" customFormat="false" ht="15" hidden="false" customHeight="true" outlineLevel="0" collapsed="false">
      <c r="A61" s="20" t="s">
        <v>227</v>
      </c>
      <c r="B61" s="20" t="s">
        <v>247</v>
      </c>
      <c r="C61" s="20" t="s">
        <v>189</v>
      </c>
      <c r="D61" s="20" t="n">
        <v>1</v>
      </c>
      <c r="E61" s="20" t="n">
        <v>2</v>
      </c>
      <c r="F61" s="20"/>
      <c r="G61" s="22"/>
    </row>
    <row r="62" customFormat="false" ht="15" hidden="false" customHeight="true" outlineLevel="0" collapsed="false">
      <c r="A62" s="20" t="s">
        <v>227</v>
      </c>
      <c r="B62" s="20" t="s">
        <v>248</v>
      </c>
      <c r="C62" s="20" t="s">
        <v>189</v>
      </c>
      <c r="D62" s="20" t="n">
        <v>1</v>
      </c>
      <c r="E62" s="20" t="n">
        <v>2</v>
      </c>
      <c r="F62" s="20"/>
      <c r="G62" s="22"/>
    </row>
    <row r="63" customFormat="false" ht="15" hidden="false" customHeight="true" outlineLevel="0" collapsed="false">
      <c r="A63" s="23"/>
      <c r="B63" s="24" t="s">
        <v>249</v>
      </c>
      <c r="C63" s="23"/>
      <c r="D63" s="23"/>
      <c r="E63" s="23"/>
      <c r="F63" s="23"/>
      <c r="G63" s="23"/>
    </row>
    <row r="65" customFormat="false" ht="15" hidden="false" customHeight="true" outlineLevel="0" collapsed="false">
      <c r="A65" s="20" t="s">
        <v>250</v>
      </c>
      <c r="B65" s="20" t="s">
        <v>251</v>
      </c>
      <c r="C65" s="20" t="s">
        <v>189</v>
      </c>
      <c r="D65" s="20" t="n">
        <v>5</v>
      </c>
      <c r="E65" s="20" t="n">
        <v>25</v>
      </c>
      <c r="F65" s="21" t="s">
        <v>187</v>
      </c>
      <c r="G65" s="22"/>
    </row>
    <row r="66" customFormat="false" ht="26.25" hidden="false" customHeight="true" outlineLevel="0" collapsed="false">
      <c r="A66" s="20" t="s">
        <v>250</v>
      </c>
      <c r="B66" s="20" t="s">
        <v>252</v>
      </c>
      <c r="C66" s="20" t="s">
        <v>189</v>
      </c>
      <c r="D66" s="20" t="n">
        <v>4</v>
      </c>
      <c r="E66" s="20" t="n">
        <v>3</v>
      </c>
      <c r="F66" s="21" t="s">
        <v>187</v>
      </c>
      <c r="G66" s="22"/>
    </row>
    <row r="67" customFormat="false" ht="15" hidden="false" customHeight="true" outlineLevel="0" collapsed="false">
      <c r="A67" s="20" t="s">
        <v>250</v>
      </c>
      <c r="B67" s="20" t="s">
        <v>253</v>
      </c>
      <c r="C67" s="20" t="s">
        <v>189</v>
      </c>
      <c r="D67" s="20" t="n">
        <v>4</v>
      </c>
      <c r="E67" s="20" t="n">
        <v>4</v>
      </c>
      <c r="F67" s="21" t="s">
        <v>187</v>
      </c>
      <c r="G67" s="22"/>
    </row>
    <row r="68" customFormat="false" ht="15" hidden="false" customHeight="true" outlineLevel="0" collapsed="false">
      <c r="A68" s="20" t="s">
        <v>250</v>
      </c>
      <c r="B68" s="20" t="s">
        <v>254</v>
      </c>
      <c r="C68" s="20" t="s">
        <v>189</v>
      </c>
      <c r="D68" s="20" t="n">
        <v>4</v>
      </c>
      <c r="E68" s="20" t="n">
        <v>20</v>
      </c>
      <c r="F68" s="21" t="s">
        <v>187</v>
      </c>
      <c r="G68" s="22"/>
    </row>
    <row r="69" customFormat="false" ht="15" hidden="false" customHeight="true" outlineLevel="0" collapsed="false">
      <c r="A69" s="20" t="s">
        <v>250</v>
      </c>
      <c r="B69" s="20" t="s">
        <v>255</v>
      </c>
      <c r="C69" s="20" t="s">
        <v>208</v>
      </c>
      <c r="D69" s="20" t="n">
        <v>4</v>
      </c>
      <c r="E69" s="20" t="n">
        <v>30</v>
      </c>
      <c r="F69" s="21" t="s">
        <v>187</v>
      </c>
      <c r="G69" s="22"/>
    </row>
    <row r="70" customFormat="false" ht="15" hidden="false" customHeight="true" outlineLevel="0" collapsed="false">
      <c r="A70" s="20" t="s">
        <v>250</v>
      </c>
      <c r="B70" s="20" t="s">
        <v>256</v>
      </c>
      <c r="C70" s="20" t="s">
        <v>212</v>
      </c>
      <c r="D70" s="20" t="n">
        <v>3</v>
      </c>
      <c r="E70" s="20" t="n">
        <v>2</v>
      </c>
      <c r="F70" s="20"/>
      <c r="G70" s="22"/>
    </row>
    <row r="71" customFormat="false" ht="26.25" hidden="false" customHeight="true" outlineLevel="0" collapsed="false">
      <c r="A71" s="20" t="s">
        <v>250</v>
      </c>
      <c r="B71" s="20" t="s">
        <v>257</v>
      </c>
      <c r="C71" s="20" t="s">
        <v>189</v>
      </c>
      <c r="D71" s="20" t="n">
        <v>3</v>
      </c>
      <c r="E71" s="20" t="n">
        <v>5</v>
      </c>
      <c r="F71" s="20"/>
      <c r="G71" s="22"/>
    </row>
    <row r="72" customFormat="false" ht="15" hidden="false" customHeight="true" outlineLevel="0" collapsed="false">
      <c r="A72" s="20" t="s">
        <v>250</v>
      </c>
      <c r="B72" s="20" t="s">
        <v>258</v>
      </c>
      <c r="C72" s="20" t="s">
        <v>186</v>
      </c>
      <c r="D72" s="20" t="n">
        <v>3</v>
      </c>
      <c r="E72" s="20" t="n">
        <v>15</v>
      </c>
      <c r="F72" s="20"/>
      <c r="G72" s="22"/>
    </row>
    <row r="73" customFormat="false" ht="15" hidden="false" customHeight="true" outlineLevel="0" collapsed="false">
      <c r="A73" s="20" t="s">
        <v>250</v>
      </c>
      <c r="B73" s="20" t="s">
        <v>259</v>
      </c>
      <c r="C73" s="20" t="s">
        <v>186</v>
      </c>
      <c r="D73" s="20" t="n">
        <v>3</v>
      </c>
      <c r="E73" s="20" t="n">
        <v>30</v>
      </c>
      <c r="F73" s="20"/>
      <c r="G73" s="22"/>
    </row>
    <row r="74" customFormat="false" ht="26.25" hidden="false" customHeight="true" outlineLevel="0" collapsed="false">
      <c r="A74" s="20" t="s">
        <v>250</v>
      </c>
      <c r="B74" s="20" t="s">
        <v>260</v>
      </c>
      <c r="C74" s="20" t="s">
        <v>208</v>
      </c>
      <c r="D74" s="20" t="n">
        <v>2</v>
      </c>
      <c r="E74" s="20" t="n">
        <v>2</v>
      </c>
      <c r="F74" s="20"/>
      <c r="G74" s="22"/>
    </row>
    <row r="75" customFormat="false" ht="15" hidden="false" customHeight="true" outlineLevel="0" collapsed="false">
      <c r="A75" s="20" t="s">
        <v>250</v>
      </c>
      <c r="B75" s="20" t="s">
        <v>261</v>
      </c>
      <c r="C75" s="20" t="s">
        <v>208</v>
      </c>
      <c r="D75" s="20" t="n">
        <v>2</v>
      </c>
      <c r="E75" s="20" t="n">
        <v>2</v>
      </c>
      <c r="F75" s="20"/>
      <c r="G75" s="22"/>
    </row>
    <row r="76" customFormat="false" ht="15" hidden="false" customHeight="true" outlineLevel="0" collapsed="false">
      <c r="A76" s="20" t="s">
        <v>250</v>
      </c>
      <c r="B76" s="20" t="s">
        <v>262</v>
      </c>
      <c r="C76" s="20" t="s">
        <v>189</v>
      </c>
      <c r="D76" s="20" t="n">
        <v>2</v>
      </c>
      <c r="E76" s="20" t="n">
        <v>3</v>
      </c>
      <c r="F76" s="20"/>
      <c r="G76" s="22"/>
    </row>
    <row r="77" customFormat="false" ht="15" hidden="false" customHeight="true" outlineLevel="0" collapsed="false">
      <c r="A77" s="20" t="s">
        <v>250</v>
      </c>
      <c r="B77" s="20" t="s">
        <v>263</v>
      </c>
      <c r="C77" s="20" t="s">
        <v>186</v>
      </c>
      <c r="D77" s="20" t="n">
        <v>2</v>
      </c>
      <c r="E77" s="20" t="n">
        <v>4</v>
      </c>
      <c r="F77" s="20"/>
      <c r="G77" s="22"/>
    </row>
    <row r="78" customFormat="false" ht="15" hidden="false" customHeight="true" outlineLevel="0" collapsed="false">
      <c r="A78" s="20" t="s">
        <v>250</v>
      </c>
      <c r="B78" s="20" t="s">
        <v>264</v>
      </c>
      <c r="C78" s="20" t="s">
        <v>189</v>
      </c>
      <c r="D78" s="20" t="n">
        <v>1</v>
      </c>
      <c r="E78" s="20" t="n">
        <v>1</v>
      </c>
      <c r="F78" s="20"/>
      <c r="G78" s="22"/>
    </row>
    <row r="79" customFormat="false" ht="15" hidden="false" customHeight="true" outlineLevel="0" collapsed="false">
      <c r="A79" s="20" t="s">
        <v>250</v>
      </c>
      <c r="B79" s="20" t="s">
        <v>265</v>
      </c>
      <c r="C79" s="20" t="s">
        <v>189</v>
      </c>
      <c r="D79" s="20" t="n">
        <v>1</v>
      </c>
      <c r="E79" s="20" t="n">
        <v>2</v>
      </c>
      <c r="F79" s="20"/>
      <c r="G79" s="22"/>
    </row>
    <row r="80" customFormat="false" ht="15" hidden="false" customHeight="true" outlineLevel="0" collapsed="false">
      <c r="A80" s="23"/>
      <c r="B80" s="24" t="s">
        <v>266</v>
      </c>
      <c r="C80" s="23"/>
      <c r="D80" s="23"/>
      <c r="E80" s="23"/>
      <c r="F80" s="23"/>
      <c r="G80" s="23"/>
    </row>
    <row r="82" customFormat="false" ht="15" hidden="false" customHeight="true" outlineLevel="0" collapsed="false">
      <c r="A82" s="20" t="s">
        <v>267</v>
      </c>
      <c r="B82" s="20" t="s">
        <v>268</v>
      </c>
      <c r="C82" s="20" t="s">
        <v>189</v>
      </c>
      <c r="D82" s="20" t="n">
        <v>5</v>
      </c>
      <c r="E82" s="20" t="n">
        <v>30</v>
      </c>
      <c r="F82" s="21" t="s">
        <v>187</v>
      </c>
      <c r="G82" s="22"/>
    </row>
    <row r="83" customFormat="false" ht="15" hidden="false" customHeight="true" outlineLevel="0" collapsed="false">
      <c r="A83" s="20" t="s">
        <v>267</v>
      </c>
      <c r="B83" s="20" t="s">
        <v>269</v>
      </c>
      <c r="C83" s="20" t="s">
        <v>189</v>
      </c>
      <c r="D83" s="20" t="n">
        <v>3</v>
      </c>
      <c r="E83" s="20" t="n">
        <v>2</v>
      </c>
      <c r="F83" s="20"/>
      <c r="G83" s="22"/>
    </row>
    <row r="84" customFormat="false" ht="15" hidden="false" customHeight="true" outlineLevel="0" collapsed="false">
      <c r="A84" s="20" t="s">
        <v>267</v>
      </c>
      <c r="B84" s="20" t="s">
        <v>270</v>
      </c>
      <c r="C84" s="20" t="s">
        <v>189</v>
      </c>
      <c r="D84" s="20" t="n">
        <v>3</v>
      </c>
      <c r="E84" s="20" t="n">
        <v>5</v>
      </c>
      <c r="F84" s="20"/>
      <c r="G84" s="22"/>
    </row>
    <row r="85" customFormat="false" ht="15" hidden="false" customHeight="true" outlineLevel="0" collapsed="false">
      <c r="A85" s="20" t="s">
        <v>267</v>
      </c>
      <c r="B85" s="20" t="s">
        <v>271</v>
      </c>
      <c r="C85" s="20" t="s">
        <v>199</v>
      </c>
      <c r="D85" s="20" t="n">
        <v>3</v>
      </c>
      <c r="E85" s="20" t="n">
        <v>7</v>
      </c>
      <c r="F85" s="20"/>
      <c r="G85" s="22"/>
    </row>
    <row r="86" customFormat="false" ht="15" hidden="false" customHeight="true" outlineLevel="0" collapsed="false">
      <c r="A86" s="20" t="s">
        <v>267</v>
      </c>
      <c r="B86" s="20" t="s">
        <v>272</v>
      </c>
      <c r="C86" s="20" t="s">
        <v>189</v>
      </c>
      <c r="D86" s="20" t="n">
        <v>3</v>
      </c>
      <c r="E86" s="20" t="n">
        <v>10</v>
      </c>
      <c r="F86" s="20"/>
      <c r="G86" s="22"/>
    </row>
    <row r="87" customFormat="false" ht="15" hidden="false" customHeight="true" outlineLevel="0" collapsed="false">
      <c r="A87" s="20" t="s">
        <v>267</v>
      </c>
      <c r="B87" s="20" t="s">
        <v>273</v>
      </c>
      <c r="C87" s="20" t="s">
        <v>208</v>
      </c>
      <c r="D87" s="20" t="n">
        <v>3</v>
      </c>
      <c r="E87" s="20" t="n">
        <v>40</v>
      </c>
      <c r="F87" s="20"/>
      <c r="G87" s="22"/>
    </row>
    <row r="88" customFormat="false" ht="15" hidden="false" customHeight="true" outlineLevel="0" collapsed="false">
      <c r="A88" s="20" t="s">
        <v>267</v>
      </c>
      <c r="B88" s="20" t="s">
        <v>274</v>
      </c>
      <c r="C88" s="20" t="s">
        <v>186</v>
      </c>
      <c r="D88" s="20" t="n">
        <v>3</v>
      </c>
      <c r="E88" s="20" t="n">
        <v>40</v>
      </c>
      <c r="F88" s="20"/>
      <c r="G88" s="22"/>
    </row>
    <row r="89" customFormat="false" ht="15" hidden="false" customHeight="true" outlineLevel="0" collapsed="false">
      <c r="A89" s="20" t="s">
        <v>267</v>
      </c>
      <c r="B89" s="20" t="s">
        <v>275</v>
      </c>
      <c r="C89" s="20" t="s">
        <v>208</v>
      </c>
      <c r="D89" s="20" t="n">
        <v>2</v>
      </c>
      <c r="E89" s="20" t="n">
        <v>1</v>
      </c>
      <c r="F89" s="20"/>
      <c r="G89" s="22"/>
    </row>
    <row r="90" customFormat="false" ht="15" hidden="false" customHeight="true" outlineLevel="0" collapsed="false">
      <c r="A90" s="20" t="s">
        <v>267</v>
      </c>
      <c r="B90" s="20" t="s">
        <v>276</v>
      </c>
      <c r="C90" s="20" t="s">
        <v>189</v>
      </c>
      <c r="D90" s="20" t="n">
        <v>2</v>
      </c>
      <c r="E90" s="20" t="n">
        <v>3</v>
      </c>
      <c r="F90" s="20"/>
      <c r="G90" s="22"/>
    </row>
    <row r="91" customFormat="false" ht="15" hidden="false" customHeight="true" outlineLevel="0" collapsed="false">
      <c r="A91" s="20" t="s">
        <v>267</v>
      </c>
      <c r="B91" s="20" t="s">
        <v>277</v>
      </c>
      <c r="C91" s="20" t="s">
        <v>189</v>
      </c>
      <c r="D91" s="20" t="n">
        <v>2</v>
      </c>
      <c r="E91" s="20" t="n">
        <v>6</v>
      </c>
      <c r="F91" s="20"/>
      <c r="G91" s="22"/>
    </row>
    <row r="92" customFormat="false" ht="15" hidden="false" customHeight="true" outlineLevel="0" collapsed="false">
      <c r="A92" s="20" t="s">
        <v>267</v>
      </c>
      <c r="B92" s="20" t="s">
        <v>278</v>
      </c>
      <c r="C92" s="20" t="s">
        <v>189</v>
      </c>
      <c r="D92" s="20" t="n">
        <v>2</v>
      </c>
      <c r="E92" s="20" t="n">
        <v>20</v>
      </c>
      <c r="F92" s="20"/>
      <c r="G92" s="22"/>
    </row>
    <row r="93" customFormat="false" ht="15" hidden="false" customHeight="true" outlineLevel="0" collapsed="false">
      <c r="A93" s="20" t="s">
        <v>267</v>
      </c>
      <c r="B93" s="20" t="s">
        <v>279</v>
      </c>
      <c r="C93" s="20" t="s">
        <v>186</v>
      </c>
      <c r="D93" s="20" t="n">
        <v>2</v>
      </c>
      <c r="E93" s="20" t="n">
        <v>30</v>
      </c>
      <c r="F93" s="20"/>
      <c r="G93" s="22"/>
    </row>
    <row r="94" customFormat="false" ht="26.25" hidden="false" customHeight="true" outlineLevel="0" collapsed="false">
      <c r="A94" s="20" t="s">
        <v>267</v>
      </c>
      <c r="B94" s="20" t="s">
        <v>280</v>
      </c>
      <c r="C94" s="20" t="s">
        <v>189</v>
      </c>
      <c r="D94" s="20" t="n">
        <v>1</v>
      </c>
      <c r="E94" s="20" t="n">
        <v>1</v>
      </c>
      <c r="F94" s="20"/>
      <c r="G94" s="22"/>
    </row>
    <row r="95" customFormat="false" ht="15" hidden="false" customHeight="true" outlineLevel="0" collapsed="false">
      <c r="A95" s="20" t="s">
        <v>267</v>
      </c>
      <c r="B95" s="20" t="s">
        <v>281</v>
      </c>
      <c r="C95" s="20" t="s">
        <v>189</v>
      </c>
      <c r="D95" s="20" t="n">
        <v>1</v>
      </c>
      <c r="E95" s="20" t="n">
        <v>1</v>
      </c>
      <c r="F95" s="20"/>
      <c r="G95" s="22"/>
    </row>
    <row r="96" customFormat="false" ht="15" hidden="false" customHeight="true" outlineLevel="0" collapsed="false">
      <c r="A96" s="20" t="s">
        <v>267</v>
      </c>
      <c r="B96" s="20" t="s">
        <v>282</v>
      </c>
      <c r="C96" s="20" t="s">
        <v>189</v>
      </c>
      <c r="D96" s="20" t="n">
        <v>1</v>
      </c>
      <c r="E96" s="20" t="n">
        <v>2</v>
      </c>
      <c r="F96" s="20"/>
      <c r="G96" s="22"/>
    </row>
    <row r="97" customFormat="false" ht="15" hidden="false" customHeight="true" outlineLevel="0" collapsed="false">
      <c r="A97" s="20" t="s">
        <v>267</v>
      </c>
      <c r="B97" s="20" t="s">
        <v>283</v>
      </c>
      <c r="C97" s="20" t="s">
        <v>189</v>
      </c>
      <c r="D97" s="20" t="n">
        <v>1</v>
      </c>
      <c r="E97" s="20" t="n">
        <v>2</v>
      </c>
      <c r="F97" s="20"/>
      <c r="G97" s="22"/>
    </row>
    <row r="98" customFormat="false" ht="15" hidden="false" customHeight="true" outlineLevel="0" collapsed="false">
      <c r="A98" s="23"/>
      <c r="B98" s="24" t="s">
        <v>284</v>
      </c>
      <c r="C98" s="23"/>
      <c r="D98" s="23"/>
      <c r="E98" s="23"/>
      <c r="F98" s="23"/>
      <c r="G98" s="23"/>
    </row>
  </sheetData>
  <sheetProtection sheet="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52"/>
    <col collapsed="false" customWidth="true" hidden="false" outlineLevel="0" max="3" min="3" style="1" width="44"/>
  </cols>
  <sheetData>
    <row r="1" customFormat="false" ht="21" hidden="false" customHeight="true" outlineLevel="0" collapsed="false">
      <c r="A1" s="2" t="s">
        <v>285</v>
      </c>
    </row>
    <row r="2" customFormat="false" ht="15" hidden="false" customHeight="true" outlineLevel="0" collapsed="false">
      <c r="A2" s="11" t="s">
        <v>286</v>
      </c>
    </row>
    <row r="4" customFormat="false" ht="15" hidden="false" customHeight="true" outlineLevel="0" collapsed="false">
      <c r="A4" s="12" t="s">
        <v>179</v>
      </c>
      <c r="B4" s="12" t="s">
        <v>287</v>
      </c>
      <c r="C4" s="12" t="s">
        <v>288</v>
      </c>
    </row>
    <row r="5" customFormat="false" ht="30" hidden="false" customHeight="true" outlineLevel="0" collapsed="false">
      <c r="A5" s="25" t="s">
        <v>186</v>
      </c>
      <c r="B5" s="25" t="s">
        <v>289</v>
      </c>
      <c r="C5" s="25" t="s">
        <v>290</v>
      </c>
    </row>
    <row r="6" customFormat="false" ht="30" hidden="false" customHeight="true" outlineLevel="0" collapsed="false">
      <c r="A6" s="25" t="s">
        <v>199</v>
      </c>
      <c r="B6" s="25" t="s">
        <v>291</v>
      </c>
      <c r="C6" s="25" t="s">
        <v>292</v>
      </c>
    </row>
    <row r="7" customFormat="false" ht="30" hidden="false" customHeight="true" outlineLevel="0" collapsed="false">
      <c r="A7" s="25" t="s">
        <v>212</v>
      </c>
      <c r="B7" s="25" t="s">
        <v>293</v>
      </c>
      <c r="C7" s="25" t="s">
        <v>294</v>
      </c>
    </row>
    <row r="8" customFormat="false" ht="30" hidden="false" customHeight="true" outlineLevel="0" collapsed="false">
      <c r="A8" s="25" t="s">
        <v>208</v>
      </c>
      <c r="B8" s="25" t="s">
        <v>295</v>
      </c>
      <c r="C8" s="25" t="s">
        <v>296</v>
      </c>
    </row>
    <row r="9" customFormat="false" ht="30" hidden="false" customHeight="true" outlineLevel="0" collapsed="false">
      <c r="A9" s="25" t="s">
        <v>189</v>
      </c>
      <c r="B9" s="25" t="s">
        <v>297</v>
      </c>
      <c r="C9" s="25" t="s">
        <v>298</v>
      </c>
    </row>
    <row r="11" customFormat="false" ht="15" hidden="false" customHeight="true" outlineLevel="0" collapsed="false">
      <c r="A11" s="5" t="s">
        <v>299</v>
      </c>
    </row>
    <row r="12" customFormat="false" ht="15" hidden="false" customHeight="true" outlineLevel="0" collapsed="false">
      <c r="A12" s="26" t="s">
        <v>300</v>
      </c>
      <c r="B12" s="26"/>
      <c r="C12" s="26"/>
    </row>
    <row r="13" customFormat="false" ht="15" hidden="false" customHeight="true" outlineLevel="0" collapsed="false">
      <c r="A13" s="26" t="s">
        <v>301</v>
      </c>
      <c r="B13" s="26"/>
      <c r="C13" s="26"/>
    </row>
    <row r="14" customFormat="false" ht="15" hidden="false" customHeight="true" outlineLevel="0" collapsed="false">
      <c r="A14" s="26" t="s">
        <v>302</v>
      </c>
      <c r="B14" s="26"/>
      <c r="C14" s="26"/>
    </row>
    <row r="15" customFormat="false" ht="15" hidden="false" customHeight="true" outlineLevel="0" collapsed="false">
      <c r="A15" s="26" t="s">
        <v>303</v>
      </c>
      <c r="B15" s="26"/>
      <c r="C15" s="26"/>
    </row>
  </sheetData>
  <sheetProtection sheet="true"/>
  <mergeCells count="4">
    <mergeCell ref="A12:C12"/>
    <mergeCell ref="A13:C13"/>
    <mergeCell ref="A14:C14"/>
    <mergeCell ref="A15:C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F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6" min="2" style="1" width="18"/>
  </cols>
  <sheetData>
    <row r="1" customFormat="false" ht="21" hidden="false" customHeight="true" outlineLevel="0" collapsed="false">
      <c r="A1" s="2" t="s">
        <v>304</v>
      </c>
    </row>
    <row r="2" customFormat="false" ht="15" hidden="false" customHeight="true" outlineLevel="0" collapsed="false">
      <c r="A2" s="11" t="s">
        <v>305</v>
      </c>
    </row>
    <row r="4" customFormat="false" ht="15" hidden="false" customHeight="true" outlineLevel="0" collapsed="false">
      <c r="A4" s="27" t="s">
        <v>52</v>
      </c>
      <c r="B4" s="28"/>
    </row>
    <row r="5" customFormat="false" ht="15" hidden="false" customHeight="true" outlineLevel="0" collapsed="false">
      <c r="A5" s="27" t="s">
        <v>306</v>
      </c>
      <c r="B5" s="28"/>
    </row>
    <row r="6" customFormat="false" ht="15" hidden="false" customHeight="true" outlineLevel="0" collapsed="false">
      <c r="A6" s="27" t="s">
        <v>307</v>
      </c>
      <c r="B6" s="28"/>
    </row>
    <row r="7" customFormat="false" ht="15" hidden="false" customHeight="true" outlineLevel="0" collapsed="false">
      <c r="A7" s="27" t="s">
        <v>308</v>
      </c>
      <c r="B7" s="28"/>
    </row>
    <row r="8" customFormat="false" ht="60" hidden="false" customHeight="true" outlineLevel="0" collapsed="false">
      <c r="A8" s="27" t="s">
        <v>309</v>
      </c>
      <c r="B8" s="28"/>
      <c r="C8" s="28"/>
      <c r="D8" s="28"/>
      <c r="E8" s="28"/>
      <c r="F8" s="28"/>
    </row>
    <row r="9" customFormat="false" ht="39.75" hidden="false" customHeight="true" outlineLevel="0" collapsed="false">
      <c r="A9" s="27" t="s">
        <v>310</v>
      </c>
      <c r="B9" s="28"/>
      <c r="C9" s="28"/>
      <c r="D9" s="28"/>
      <c r="E9" s="28"/>
      <c r="F9" s="28"/>
    </row>
    <row r="10" customFormat="false" ht="15" hidden="false" customHeight="true" outlineLevel="0" collapsed="false">
      <c r="A10" s="27" t="s">
        <v>311</v>
      </c>
      <c r="B10" s="28" t="n">
        <v>25</v>
      </c>
    </row>
    <row r="11" customFormat="false" ht="15" hidden="false" customHeight="true" outlineLevel="0" collapsed="false">
      <c r="A11" s="29" t="s">
        <v>312</v>
      </c>
      <c r="B11" s="28"/>
    </row>
    <row r="12" customFormat="false" ht="15" hidden="false" customHeight="true" outlineLevel="0" collapsed="false">
      <c r="A12" s="29" t="s">
        <v>313</v>
      </c>
      <c r="B12" s="28"/>
    </row>
    <row r="16" customFormat="false" ht="16.5" hidden="false" customHeight="true" outlineLevel="0" collapsed="false">
      <c r="A16" s="5" t="s">
        <v>314</v>
      </c>
    </row>
    <row r="17" customFormat="false" ht="15" hidden="false" customHeight="true" outlineLevel="0" collapsed="false">
      <c r="A17" s="12" t="s">
        <v>51</v>
      </c>
      <c r="B17" s="12" t="s">
        <v>315</v>
      </c>
      <c r="C17" s="12" t="s">
        <v>316</v>
      </c>
      <c r="D17" s="12" t="s">
        <v>317</v>
      </c>
      <c r="E17" s="12" t="s">
        <v>318</v>
      </c>
    </row>
    <row r="18" customFormat="false" ht="15" hidden="false" customHeight="true" outlineLevel="0" collapsed="false">
      <c r="A18" s="25"/>
      <c r="B18" s="25"/>
      <c r="C18" s="25"/>
      <c r="D18" s="25"/>
      <c r="E18" s="25"/>
    </row>
    <row r="19" customFormat="false" ht="15" hidden="false" customHeight="true" outlineLevel="0" collapsed="false">
      <c r="A19" s="25"/>
      <c r="B19" s="25"/>
      <c r="C19" s="25"/>
      <c r="D19" s="25"/>
      <c r="E19" s="25"/>
    </row>
    <row r="20" customFormat="false" ht="15" hidden="false" customHeight="true" outlineLevel="0" collapsed="false">
      <c r="A20" s="25"/>
      <c r="B20" s="25"/>
      <c r="C20" s="25"/>
      <c r="D20" s="25"/>
      <c r="E20" s="25"/>
    </row>
    <row r="21" customFormat="false" ht="15" hidden="false" customHeight="true" outlineLevel="0" collapsed="false">
      <c r="A21" s="25"/>
      <c r="B21" s="25"/>
      <c r="C21" s="25"/>
      <c r="D21" s="25"/>
      <c r="E21" s="25"/>
    </row>
    <row r="22" customFormat="false" ht="15" hidden="false" customHeight="true" outlineLevel="0" collapsed="false">
      <c r="A22" s="25"/>
      <c r="B22" s="25"/>
      <c r="C22" s="25"/>
      <c r="D22" s="25"/>
      <c r="E22" s="25"/>
    </row>
    <row r="23" customFormat="false" ht="15" hidden="false" customHeight="true" outlineLevel="0" collapsed="false">
      <c r="A23" s="25"/>
      <c r="B23" s="25"/>
      <c r="C23" s="25"/>
      <c r="D23" s="25"/>
      <c r="E23" s="25"/>
    </row>
    <row r="24" customFormat="false" ht="15" hidden="false" customHeight="true" outlineLevel="0" collapsed="false">
      <c r="A24" s="25"/>
      <c r="B24" s="25"/>
      <c r="C24" s="25"/>
      <c r="D24" s="25"/>
      <c r="E24" s="25"/>
    </row>
    <row r="25" customFormat="false" ht="15" hidden="false" customHeight="true" outlineLevel="0" collapsed="false">
      <c r="A25" s="25"/>
      <c r="B25" s="25"/>
      <c r="C25" s="25"/>
      <c r="D25" s="25"/>
      <c r="E25" s="25"/>
    </row>
    <row r="26" customFormat="false" ht="15" hidden="false" customHeight="true" outlineLevel="0" collapsed="false">
      <c r="A26" s="25"/>
      <c r="B26" s="25"/>
      <c r="C26" s="25"/>
      <c r="D26" s="25"/>
      <c r="E26" s="25"/>
    </row>
    <row r="27" customFormat="false" ht="15" hidden="false" customHeight="true" outlineLevel="0" collapsed="false">
      <c r="A27" s="25"/>
      <c r="B27" s="25"/>
      <c r="C27" s="25"/>
      <c r="D27" s="25"/>
      <c r="E27" s="25"/>
    </row>
    <row r="28" customFormat="false" ht="15" hidden="false" customHeight="true" outlineLevel="0" collapsed="false">
      <c r="A28" s="25"/>
      <c r="B28" s="25"/>
      <c r="C28" s="25"/>
      <c r="D28" s="25"/>
      <c r="E28" s="25"/>
    </row>
    <row r="29" customFormat="false" ht="15" hidden="false" customHeight="true" outlineLevel="0" collapsed="false">
      <c r="A29" s="25"/>
      <c r="B29" s="25"/>
      <c r="C29" s="25"/>
      <c r="D29" s="25"/>
      <c r="E29" s="25"/>
    </row>
  </sheetData>
  <mergeCells count="2">
    <mergeCell ref="B8:F8"/>
    <mergeCell ref="B9:F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6"/>
    <col collapsed="false" customWidth="true" hidden="false" outlineLevel="0" max="3" min="3" style="1" width="18"/>
    <col collapsed="false" customWidth="true" hidden="false" outlineLevel="0" max="4" min="4" style="1" width="11"/>
    <col collapsed="false" customWidth="true" hidden="false" outlineLevel="0" max="5" min="5" style="1" width="10"/>
    <col collapsed="false" customWidth="true" hidden="false" outlineLevel="0" max="6" min="6" style="1" width="18"/>
    <col collapsed="false" customWidth="true" hidden="false" outlineLevel="0" max="8" min="7" style="1" width="12"/>
    <col collapsed="false" customWidth="true" hidden="false" outlineLevel="0" max="9" min="9" style="1" width="10"/>
    <col collapsed="false" customWidth="true" hidden="false" outlineLevel="0" max="10" min="10" style="1" width="13"/>
    <col collapsed="false" customWidth="true" hidden="false" outlineLevel="0" max="12" min="11" style="1" width="14"/>
    <col collapsed="false" customWidth="true" hidden="false" outlineLevel="0" max="13" min="13" style="1" width="16"/>
    <col collapsed="false" customWidth="true" hidden="false" outlineLevel="0" max="14" min="14" style="1" width="18"/>
    <col collapsed="false" customWidth="true" hidden="false" outlineLevel="0" max="15" min="15" style="1" width="24"/>
    <col collapsed="false" customWidth="true" hidden="false" outlineLevel="0" max="16" min="16" style="1" width="12"/>
    <col collapsed="false" customWidth="true" hidden="false" outlineLevel="0" max="17" min="17" style="1" width="32"/>
    <col collapsed="false" customWidth="true" hidden="false" outlineLevel="0" max="18" min="18" style="1" width="22"/>
    <col collapsed="false" customWidth="true" hidden="false" outlineLevel="0" max="19" min="19" style="1" width="30"/>
    <col collapsed="false" customWidth="true" hidden="false" outlineLevel="0" max="22" min="20" style="1" width="13"/>
    <col collapsed="false" customWidth="true" hidden="false" outlineLevel="0" max="24" min="23" style="1" width="14"/>
    <col collapsed="false" customWidth="true" hidden="false" outlineLevel="0" max="25" min="25" style="1" width="9"/>
    <col collapsed="false" customWidth="true" hidden="false" outlineLevel="0" max="26" min="26" style="1" width="12"/>
    <col collapsed="false" customWidth="true" hidden="false" outlineLevel="0" max="27" min="27" style="1" width="22"/>
    <col collapsed="false" customWidth="true" hidden="false" outlineLevel="0" max="28" min="28" style="1" width="32"/>
  </cols>
  <sheetData>
    <row r="1" customFormat="false" ht="21" hidden="false" customHeight="true" outlineLevel="0" collapsed="false">
      <c r="A1" s="2" t="s">
        <v>319</v>
      </c>
    </row>
    <row r="2" customFormat="false" ht="15" hidden="false" customHeight="true" outlineLevel="0" collapsed="false">
      <c r="A2" s="11" t="s">
        <v>320</v>
      </c>
    </row>
    <row r="4" customFormat="false" ht="15" hidden="false" customHeight="true" outlineLevel="0" collapsed="false">
      <c r="A4" s="6" t="s">
        <v>321</v>
      </c>
      <c r="B4" s="30"/>
      <c r="C4" s="6" t="s">
        <v>322</v>
      </c>
      <c r="D4" s="30"/>
      <c r="E4" s="6" t="s">
        <v>323</v>
      </c>
      <c r="F4" s="31" t="n">
        <f aca="false">COUNTIF(A8:A207,"*-*")</f>
        <v>0</v>
      </c>
      <c r="G4" s="6" t="s">
        <v>324</v>
      </c>
      <c r="H4" s="31" t="n">
        <f aca="false">COUNTIF(AB8:AB207,"✔*")</f>
        <v>0</v>
      </c>
      <c r="I4" s="6" t="s">
        <v>325</v>
      </c>
      <c r="J4" s="31" t="n">
        <f aca="false">F4-H4</f>
        <v>0</v>
      </c>
      <c r="K4" s="11" t="s">
        <v>326</v>
      </c>
    </row>
    <row r="7" customFormat="false" ht="33.75" hidden="false" customHeight="true" outlineLevel="0" collapsed="false">
      <c r="A7" s="12" t="s">
        <v>327</v>
      </c>
      <c r="B7" s="12" t="s">
        <v>178</v>
      </c>
      <c r="C7" s="32" t="s">
        <v>328</v>
      </c>
      <c r="D7" s="12" t="s">
        <v>179</v>
      </c>
      <c r="E7" s="12" t="s">
        <v>329</v>
      </c>
      <c r="F7" s="12" t="s">
        <v>330</v>
      </c>
      <c r="G7" s="12" t="s">
        <v>331</v>
      </c>
      <c r="H7" s="12" t="s">
        <v>332</v>
      </c>
      <c r="I7" s="12" t="s">
        <v>333</v>
      </c>
      <c r="J7" s="32" t="s">
        <v>334</v>
      </c>
      <c r="K7" s="12" t="s">
        <v>335</v>
      </c>
      <c r="L7" s="32" t="s">
        <v>336</v>
      </c>
      <c r="M7" s="12" t="s">
        <v>337</v>
      </c>
      <c r="N7" s="33" t="s">
        <v>338</v>
      </c>
      <c r="O7" s="33" t="s">
        <v>339</v>
      </c>
      <c r="P7" s="33" t="s">
        <v>340</v>
      </c>
      <c r="Q7" s="33" t="s">
        <v>341</v>
      </c>
      <c r="R7" s="33" t="s">
        <v>342</v>
      </c>
      <c r="S7" s="12" t="s">
        <v>343</v>
      </c>
      <c r="T7" s="32" t="s">
        <v>344</v>
      </c>
      <c r="U7" s="34" t="s">
        <v>345</v>
      </c>
      <c r="V7" s="34" t="s">
        <v>346</v>
      </c>
      <c r="W7" s="12" t="s">
        <v>347</v>
      </c>
      <c r="X7" s="12" t="s">
        <v>348</v>
      </c>
      <c r="Y7" s="12" t="s">
        <v>349</v>
      </c>
      <c r="Z7" s="12" t="s">
        <v>350</v>
      </c>
      <c r="AA7" s="32" t="s">
        <v>351</v>
      </c>
      <c r="AB7" s="35" t="s">
        <v>352</v>
      </c>
    </row>
    <row r="8" customFormat="false" ht="30" hidden="false" customHeight="true" outlineLevel="0" collapsed="false">
      <c r="A8" s="36" t="str">
        <f aca="false">IF($D$4="","",IF(COUNTA($B8:$W8)+COUNTA($Y8:$AA8)=0,"",$D$4&amp;"-"&amp;TEXT(ROW()-7,"000")))</f>
        <v/>
      </c>
      <c r="B8" s="37"/>
      <c r="C8" s="37"/>
      <c r="D8" s="37"/>
      <c r="E8" s="37"/>
      <c r="F8" s="37"/>
      <c r="G8" s="38"/>
      <c r="H8" s="38"/>
      <c r="I8" s="37"/>
      <c r="J8" s="38"/>
      <c r="K8" s="37"/>
      <c r="L8" s="37"/>
      <c r="M8" s="37"/>
      <c r="N8" s="37"/>
      <c r="O8" s="37"/>
      <c r="P8" s="37"/>
      <c r="Q8" s="37"/>
      <c r="R8" s="37"/>
      <c r="S8" s="37"/>
      <c r="T8" s="37"/>
      <c r="U8" s="37"/>
      <c r="V8" s="37"/>
      <c r="W8" s="37"/>
      <c r="X8" s="36" t="str">
        <f aca="false">IF($A8="","",TRIM($B$4&amp;" "&amp;$D$4))</f>
        <v/>
      </c>
      <c r="Y8" s="37"/>
      <c r="Z8" s="38"/>
      <c r="AA8" s="37"/>
      <c r="AB8" s="39" t="str">
        <f aca="false">IFERROR(IF(COUNTA($B8:$W8)+COUNTA($Y8:$AA8)=0,"",IF(A8="","① 条目ID未生成(先在顶栏填学号与编号)",IF(COUNTIF($A$8:$A$207,A8)&gt;1,"① 条目ID重复",IF(B8="","② 缺文件名称",IF(D8="","④ 缺位阶",IF(E8="","⑤ 缺制定区域",IF(NOT(ISNUMBER(H8)),"⑧ 施行日期须为日期格式 YYYY-MM-DD",IF(AND(I8&lt;&gt;"现行有效",I8&lt;&gt;"",J8=""),"⑩ 非现行有效须填失效/修订日期",IF(AND(ISNUMBER(J8),ISNUMBER(H8),J8&lt;=H8),"⑩ 失效日期须晚于施行日期",IF(K8="","⑪ 缺主题标签(主)",IF(AND(L8&lt;&gt;"",L8=K8),"⑫ 次标签不得与主标签相同",IF(AND(ISERROR(SEARCH("条",M8)),ISERROR(SEARCH("段",M8)),ISERROR(SEARCH("项",M8))),"⑬ 条文定位须到条/款/项或段",IF(OR(N8="",O8="",P8="",Q8=""),"⑭-⑰ 五要素未填全",IF(LEN(Q8)&gt;120,"⑰ 行为模式内容超120字,请再概括",IF(S8="","⑲ 缺原文摘录",IF(LEN(S8)&gt;200,"⑲ 原文摘录超200字,说明条文选得太大",IF(AND(E8="国家",U8=""),"㉑ 国家层须填央地权限配置",IF(AND(E8="国家",V8&lt;&gt;""),"㉒ 国家层不填地方自主权类型",IF(AND(E8&lt;&gt;"国家",V8=""),"㉒ 地方层须填地方自主权类型",IF(AND(E8&lt;&gt;"国家",U8&lt;&gt;""),"㉑ 地方层不填央地权限配置",IF(W8="","㉓ 缺核实来源",IF(X8="","㉔ 缺录入人",IF(Y8="","㉕ 缺版本号","✔ 通过基础校验"))))))))))))))))))))))),"⚠ 自检公式受损(勿用剪切移动单元格),请告知老师修复")</f>
        <v/>
      </c>
    </row>
    <row r="9" customFormat="false" ht="30" hidden="false" customHeight="true" outlineLevel="0" collapsed="false">
      <c r="A9" s="36" t="str">
        <f aca="false">IF($D$4="","",IF(COUNTA($B9:$W9)+COUNTA($Y9:$AA9)=0,"",$D$4&amp;"-"&amp;TEXT(ROW()-7,"000")))</f>
        <v/>
      </c>
      <c r="B9" s="37"/>
      <c r="C9" s="37"/>
      <c r="D9" s="37"/>
      <c r="E9" s="37"/>
      <c r="F9" s="37"/>
      <c r="G9" s="38"/>
      <c r="H9" s="38"/>
      <c r="I9" s="37"/>
      <c r="J9" s="38"/>
      <c r="K9" s="37"/>
      <c r="L9" s="37"/>
      <c r="M9" s="37"/>
      <c r="N9" s="37"/>
      <c r="O9" s="37"/>
      <c r="P9" s="37"/>
      <c r="Q9" s="37"/>
      <c r="R9" s="37"/>
      <c r="S9" s="37"/>
      <c r="T9" s="37"/>
      <c r="U9" s="37"/>
      <c r="V9" s="37"/>
      <c r="W9" s="37"/>
      <c r="X9" s="36" t="str">
        <f aca="false">IF($A9="","",TRIM($B$4&amp;" "&amp;$D$4))</f>
        <v/>
      </c>
      <c r="Y9" s="37"/>
      <c r="Z9" s="38"/>
      <c r="AA9" s="37"/>
      <c r="AB9" s="39" t="str">
        <f aca="false">IFERROR(IF(COUNTA($B9:$W9)+COUNTA($Y9:$AA9)=0,"",IF(A9="","① 条目ID未生成(先在顶栏填学号与编号)",IF(COUNTIF($A$8:$A$207,A9)&gt;1,"① 条目ID重复",IF(B9="","② 缺文件名称",IF(D9="","④ 缺位阶",IF(E9="","⑤ 缺制定区域",IF(NOT(ISNUMBER(H9)),"⑧ 施行日期须为日期格式 YYYY-MM-DD",IF(AND(I9&lt;&gt;"现行有效",I9&lt;&gt;"",J9=""),"⑩ 非现行有效须填失效/修订日期",IF(AND(ISNUMBER(J9),ISNUMBER(H9),J9&lt;=H9),"⑩ 失效日期须晚于施行日期",IF(K9="","⑪ 缺主题标签(主)",IF(AND(L9&lt;&gt;"",L9=K9),"⑫ 次标签不得与主标签相同",IF(AND(ISERROR(SEARCH("条",M9)),ISERROR(SEARCH("段",M9)),ISERROR(SEARCH("项",M9))),"⑬ 条文定位须到条/款/项或段",IF(OR(N9="",O9="",P9="",Q9=""),"⑭-⑰ 五要素未填全",IF(LEN(Q9)&gt;120,"⑰ 行为模式内容超120字,请再概括",IF(S9="","⑲ 缺原文摘录",IF(LEN(S9)&gt;200,"⑲ 原文摘录超200字,说明条文选得太大",IF(AND(E9="国家",U9=""),"㉑ 国家层须填央地权限配置",IF(AND(E9="国家",V9&lt;&gt;""),"㉒ 国家层不填地方自主权类型",IF(AND(E9&lt;&gt;"国家",V9=""),"㉒ 地方层须填地方自主权类型",IF(AND(E9&lt;&gt;"国家",U9&lt;&gt;""),"㉑ 地方层不填央地权限配置",IF(W9="","㉓ 缺核实来源",IF(X9="","㉔ 缺录入人",IF(Y9="","㉕ 缺版本号","✔ 通过基础校验"))))))))))))))))))))))),"⚠ 自检公式受损(勿用剪切移动单元格),请告知老师修复")</f>
        <v/>
      </c>
    </row>
    <row r="10" customFormat="false" ht="30" hidden="false" customHeight="true" outlineLevel="0" collapsed="false">
      <c r="A10" s="36" t="str">
        <f aca="false">IF($D$4="","",IF(COUNTA($B10:$W10)+COUNTA($Y10:$AA10)=0,"",$D$4&amp;"-"&amp;TEXT(ROW()-7,"000")))</f>
        <v/>
      </c>
      <c r="B10" s="37"/>
      <c r="C10" s="37"/>
      <c r="D10" s="37"/>
      <c r="E10" s="37"/>
      <c r="F10" s="37"/>
      <c r="G10" s="38"/>
      <c r="H10" s="38"/>
      <c r="I10" s="37"/>
      <c r="J10" s="38"/>
      <c r="K10" s="37"/>
      <c r="L10" s="37"/>
      <c r="M10" s="37"/>
      <c r="N10" s="37"/>
      <c r="O10" s="37"/>
      <c r="P10" s="37"/>
      <c r="Q10" s="37"/>
      <c r="R10" s="37"/>
      <c r="S10" s="37"/>
      <c r="T10" s="37"/>
      <c r="U10" s="37"/>
      <c r="V10" s="37"/>
      <c r="W10" s="37"/>
      <c r="X10" s="36" t="str">
        <f aca="false">IF($A10="","",TRIM($B$4&amp;" "&amp;$D$4))</f>
        <v/>
      </c>
      <c r="Y10" s="37"/>
      <c r="Z10" s="38"/>
      <c r="AA10" s="37"/>
      <c r="AB10" s="39" t="str">
        <f aca="false">IFERROR(IF(COUNTA($B10:$W10)+COUNTA($Y10:$AA10)=0,"",IF(A10="","① 条目ID未生成(先在顶栏填学号与编号)",IF(COUNTIF($A$8:$A$207,A10)&gt;1,"① 条目ID重复",IF(B10="","② 缺文件名称",IF(D10="","④ 缺位阶",IF(E10="","⑤ 缺制定区域",IF(NOT(ISNUMBER(H10)),"⑧ 施行日期须为日期格式 YYYY-MM-DD",IF(AND(I10&lt;&gt;"现行有效",I10&lt;&gt;"",J10=""),"⑩ 非现行有效须填失效/修订日期",IF(AND(ISNUMBER(J10),ISNUMBER(H10),J10&lt;=H10),"⑩ 失效日期须晚于施行日期",IF(K10="","⑪ 缺主题标签(主)",IF(AND(L10&lt;&gt;"",L10=K10),"⑫ 次标签不得与主标签相同",IF(AND(ISERROR(SEARCH("条",M10)),ISERROR(SEARCH("段",M10)),ISERROR(SEARCH("项",M10))),"⑬ 条文定位须到条/款/项或段",IF(OR(N10="",O10="",P10="",Q10=""),"⑭-⑰ 五要素未填全",IF(LEN(Q10)&gt;120,"⑰ 行为模式内容超120字,请再概括",IF(S10="","⑲ 缺原文摘录",IF(LEN(S10)&gt;200,"⑲ 原文摘录超200字,说明条文选得太大",IF(AND(E10="国家",U10=""),"㉑ 国家层须填央地权限配置",IF(AND(E10="国家",V10&lt;&gt;""),"㉒ 国家层不填地方自主权类型",IF(AND(E10&lt;&gt;"国家",V10=""),"㉒ 地方层须填地方自主权类型",IF(AND(E10&lt;&gt;"国家",U10&lt;&gt;""),"㉑ 地方层不填央地权限配置",IF(W10="","㉓ 缺核实来源",IF(X10="","㉔ 缺录入人",IF(Y10="","㉕ 缺版本号","✔ 通过基础校验"))))))))))))))))))))))),"⚠ 自检公式受损(勿用剪切移动单元格),请告知老师修复")</f>
        <v/>
      </c>
    </row>
    <row r="11" customFormat="false" ht="30" hidden="false" customHeight="true" outlineLevel="0" collapsed="false">
      <c r="A11" s="36" t="str">
        <f aca="false">IF($D$4="","",IF(COUNTA($B11:$W11)+COUNTA($Y11:$AA11)=0,"",$D$4&amp;"-"&amp;TEXT(ROW()-7,"000")))</f>
        <v/>
      </c>
      <c r="B11" s="37"/>
      <c r="C11" s="37"/>
      <c r="D11" s="37"/>
      <c r="E11" s="37"/>
      <c r="F11" s="37"/>
      <c r="G11" s="38"/>
      <c r="H11" s="38"/>
      <c r="I11" s="37"/>
      <c r="J11" s="38"/>
      <c r="K11" s="37"/>
      <c r="L11" s="37"/>
      <c r="M11" s="37"/>
      <c r="N11" s="37"/>
      <c r="O11" s="37"/>
      <c r="P11" s="37"/>
      <c r="Q11" s="37"/>
      <c r="R11" s="37"/>
      <c r="S11" s="37"/>
      <c r="T11" s="37"/>
      <c r="U11" s="37"/>
      <c r="V11" s="37"/>
      <c r="W11" s="37"/>
      <c r="X11" s="36" t="str">
        <f aca="false">IF($A11="","",TRIM($B$4&amp;" "&amp;$D$4))</f>
        <v/>
      </c>
      <c r="Y11" s="37"/>
      <c r="Z11" s="38"/>
      <c r="AA11" s="37"/>
      <c r="AB11" s="39" t="str">
        <f aca="false">IFERROR(IF(COUNTA($B11:$W11)+COUNTA($Y11:$AA11)=0,"",IF(A11="","① 条目ID未生成(先在顶栏填学号与编号)",IF(COUNTIF($A$8:$A$207,A11)&gt;1,"① 条目ID重复",IF(B11="","② 缺文件名称",IF(D11="","④ 缺位阶",IF(E11="","⑤ 缺制定区域",IF(NOT(ISNUMBER(H11)),"⑧ 施行日期须为日期格式 YYYY-MM-DD",IF(AND(I11&lt;&gt;"现行有效",I11&lt;&gt;"",J11=""),"⑩ 非现行有效须填失效/修订日期",IF(AND(ISNUMBER(J11),ISNUMBER(H11),J11&lt;=H11),"⑩ 失效日期须晚于施行日期",IF(K11="","⑪ 缺主题标签(主)",IF(AND(L11&lt;&gt;"",L11=K11),"⑫ 次标签不得与主标签相同",IF(AND(ISERROR(SEARCH("条",M11)),ISERROR(SEARCH("段",M11)),ISERROR(SEARCH("项",M11))),"⑬ 条文定位须到条/款/项或段",IF(OR(N11="",O11="",P11="",Q11=""),"⑭-⑰ 五要素未填全",IF(LEN(Q11)&gt;120,"⑰ 行为模式内容超120字,请再概括",IF(S11="","⑲ 缺原文摘录",IF(LEN(S11)&gt;200,"⑲ 原文摘录超200字,说明条文选得太大",IF(AND(E11="国家",U11=""),"㉑ 国家层须填央地权限配置",IF(AND(E11="国家",V11&lt;&gt;""),"㉒ 国家层不填地方自主权类型",IF(AND(E11&lt;&gt;"国家",V11=""),"㉒ 地方层须填地方自主权类型",IF(AND(E11&lt;&gt;"国家",U11&lt;&gt;""),"㉑ 地方层不填央地权限配置",IF(W11="","㉓ 缺核实来源",IF(X11="","㉔ 缺录入人",IF(Y11="","㉕ 缺版本号","✔ 通过基础校验"))))))))))))))))))))))),"⚠ 自检公式受损(勿用剪切移动单元格),请告知老师修复")</f>
        <v/>
      </c>
    </row>
    <row r="12" customFormat="false" ht="30" hidden="false" customHeight="true" outlineLevel="0" collapsed="false">
      <c r="A12" s="36" t="str">
        <f aca="false">IF($D$4="","",IF(COUNTA($B12:$W12)+COUNTA($Y12:$AA12)=0,"",$D$4&amp;"-"&amp;TEXT(ROW()-7,"000")))</f>
        <v/>
      </c>
      <c r="B12" s="37"/>
      <c r="C12" s="37"/>
      <c r="D12" s="37"/>
      <c r="E12" s="37"/>
      <c r="F12" s="37"/>
      <c r="G12" s="38"/>
      <c r="H12" s="38"/>
      <c r="I12" s="37"/>
      <c r="J12" s="38"/>
      <c r="K12" s="37"/>
      <c r="L12" s="37"/>
      <c r="M12" s="37"/>
      <c r="N12" s="37"/>
      <c r="O12" s="37"/>
      <c r="P12" s="37"/>
      <c r="Q12" s="37"/>
      <c r="R12" s="37"/>
      <c r="S12" s="37"/>
      <c r="T12" s="37"/>
      <c r="U12" s="37"/>
      <c r="V12" s="37"/>
      <c r="W12" s="37"/>
      <c r="X12" s="36" t="str">
        <f aca="false">IF($A12="","",TRIM($B$4&amp;" "&amp;$D$4))</f>
        <v/>
      </c>
      <c r="Y12" s="37"/>
      <c r="Z12" s="38"/>
      <c r="AA12" s="37"/>
      <c r="AB12" s="39" t="str">
        <f aca="false">IFERROR(IF(COUNTA($B12:$W12)+COUNTA($Y12:$AA12)=0,"",IF(A12="","① 条目ID未生成(先在顶栏填学号与编号)",IF(COUNTIF($A$8:$A$207,A12)&gt;1,"① 条目ID重复",IF(B12="","② 缺文件名称",IF(D12="","④ 缺位阶",IF(E12="","⑤ 缺制定区域",IF(NOT(ISNUMBER(H12)),"⑧ 施行日期须为日期格式 YYYY-MM-DD",IF(AND(I12&lt;&gt;"现行有效",I12&lt;&gt;"",J12=""),"⑩ 非现行有效须填失效/修订日期",IF(AND(ISNUMBER(J12),ISNUMBER(H12),J12&lt;=H12),"⑩ 失效日期须晚于施行日期",IF(K12="","⑪ 缺主题标签(主)",IF(AND(L12&lt;&gt;"",L12=K12),"⑫ 次标签不得与主标签相同",IF(AND(ISERROR(SEARCH("条",M12)),ISERROR(SEARCH("段",M12)),ISERROR(SEARCH("项",M12))),"⑬ 条文定位须到条/款/项或段",IF(OR(N12="",O12="",P12="",Q12=""),"⑭-⑰ 五要素未填全",IF(LEN(Q12)&gt;120,"⑰ 行为模式内容超120字,请再概括",IF(S12="","⑲ 缺原文摘录",IF(LEN(S12)&gt;200,"⑲ 原文摘录超200字,说明条文选得太大",IF(AND(E12="国家",U12=""),"㉑ 国家层须填央地权限配置",IF(AND(E12="国家",V12&lt;&gt;""),"㉒ 国家层不填地方自主权类型",IF(AND(E12&lt;&gt;"国家",V12=""),"㉒ 地方层须填地方自主权类型",IF(AND(E12&lt;&gt;"国家",U12&lt;&gt;""),"㉑ 地方层不填央地权限配置",IF(W12="","㉓ 缺核实来源",IF(X12="","㉔ 缺录入人",IF(Y12="","㉕ 缺版本号","✔ 通过基础校验"))))))))))))))))))))))),"⚠ 自检公式受损(勿用剪切移动单元格),请告知老师修复")</f>
        <v/>
      </c>
    </row>
    <row r="13" customFormat="false" ht="30" hidden="false" customHeight="true" outlineLevel="0" collapsed="false">
      <c r="A13" s="36" t="str">
        <f aca="false">IF($D$4="","",IF(COUNTA($B13:$W13)+COUNTA($Y13:$AA13)=0,"",$D$4&amp;"-"&amp;TEXT(ROW()-7,"000")))</f>
        <v/>
      </c>
      <c r="B13" s="37"/>
      <c r="C13" s="37"/>
      <c r="D13" s="37"/>
      <c r="E13" s="37"/>
      <c r="F13" s="37"/>
      <c r="G13" s="38"/>
      <c r="H13" s="38"/>
      <c r="I13" s="37"/>
      <c r="J13" s="38"/>
      <c r="K13" s="37"/>
      <c r="L13" s="37"/>
      <c r="M13" s="37"/>
      <c r="N13" s="37"/>
      <c r="O13" s="37"/>
      <c r="P13" s="37"/>
      <c r="Q13" s="37"/>
      <c r="R13" s="37"/>
      <c r="S13" s="37"/>
      <c r="T13" s="37"/>
      <c r="U13" s="37"/>
      <c r="V13" s="37"/>
      <c r="W13" s="37"/>
      <c r="X13" s="36" t="str">
        <f aca="false">IF($A13="","",TRIM($B$4&amp;" "&amp;$D$4))</f>
        <v/>
      </c>
      <c r="Y13" s="37"/>
      <c r="Z13" s="38"/>
      <c r="AA13" s="37"/>
      <c r="AB13" s="39" t="str">
        <f aca="false">IFERROR(IF(COUNTA($B13:$W13)+COUNTA($Y13:$AA13)=0,"",IF(A13="","① 条目ID未生成(先在顶栏填学号与编号)",IF(COUNTIF($A$8:$A$207,A13)&gt;1,"① 条目ID重复",IF(B13="","② 缺文件名称",IF(D13="","④ 缺位阶",IF(E13="","⑤ 缺制定区域",IF(NOT(ISNUMBER(H13)),"⑧ 施行日期须为日期格式 YYYY-MM-DD",IF(AND(I13&lt;&gt;"现行有效",I13&lt;&gt;"",J13=""),"⑩ 非现行有效须填失效/修订日期",IF(AND(ISNUMBER(J13),ISNUMBER(H13),J13&lt;=H13),"⑩ 失效日期须晚于施行日期",IF(K13="","⑪ 缺主题标签(主)",IF(AND(L13&lt;&gt;"",L13=K13),"⑫ 次标签不得与主标签相同",IF(AND(ISERROR(SEARCH("条",M13)),ISERROR(SEARCH("段",M13)),ISERROR(SEARCH("项",M13))),"⑬ 条文定位须到条/款/项或段",IF(OR(N13="",O13="",P13="",Q13=""),"⑭-⑰ 五要素未填全",IF(LEN(Q13)&gt;120,"⑰ 行为模式内容超120字,请再概括",IF(S13="","⑲ 缺原文摘录",IF(LEN(S13)&gt;200,"⑲ 原文摘录超200字,说明条文选得太大",IF(AND(E13="国家",U13=""),"㉑ 国家层须填央地权限配置",IF(AND(E13="国家",V13&lt;&gt;""),"㉒ 国家层不填地方自主权类型",IF(AND(E13&lt;&gt;"国家",V13=""),"㉒ 地方层须填地方自主权类型",IF(AND(E13&lt;&gt;"国家",U13&lt;&gt;""),"㉑ 地方层不填央地权限配置",IF(W13="","㉓ 缺核实来源",IF(X13="","㉔ 缺录入人",IF(Y13="","㉕ 缺版本号","✔ 通过基础校验"))))))))))))))))))))))),"⚠ 自检公式受损(勿用剪切移动单元格),请告知老师修复")</f>
        <v/>
      </c>
    </row>
    <row r="14" customFormat="false" ht="30" hidden="false" customHeight="true" outlineLevel="0" collapsed="false">
      <c r="A14" s="36" t="str">
        <f aca="false">IF($D$4="","",IF(COUNTA($B14:$W14)+COUNTA($Y14:$AA14)=0,"",$D$4&amp;"-"&amp;TEXT(ROW()-7,"000")))</f>
        <v/>
      </c>
      <c r="B14" s="37"/>
      <c r="C14" s="37"/>
      <c r="D14" s="37"/>
      <c r="E14" s="37"/>
      <c r="F14" s="37"/>
      <c r="G14" s="38"/>
      <c r="H14" s="38"/>
      <c r="I14" s="37"/>
      <c r="J14" s="38"/>
      <c r="K14" s="37"/>
      <c r="L14" s="37"/>
      <c r="M14" s="37"/>
      <c r="N14" s="37"/>
      <c r="O14" s="37"/>
      <c r="P14" s="37"/>
      <c r="Q14" s="37"/>
      <c r="R14" s="37"/>
      <c r="S14" s="37"/>
      <c r="T14" s="37"/>
      <c r="U14" s="37"/>
      <c r="V14" s="37"/>
      <c r="W14" s="37"/>
      <c r="X14" s="36" t="str">
        <f aca="false">IF($A14="","",TRIM($B$4&amp;" "&amp;$D$4))</f>
        <v/>
      </c>
      <c r="Y14" s="37"/>
      <c r="Z14" s="38"/>
      <c r="AA14" s="37"/>
      <c r="AB14" s="39" t="str">
        <f aca="false">IFERROR(IF(COUNTA($B14:$W14)+COUNTA($Y14:$AA14)=0,"",IF(A14="","① 条目ID未生成(先在顶栏填学号与编号)",IF(COUNTIF($A$8:$A$207,A14)&gt;1,"① 条目ID重复",IF(B14="","② 缺文件名称",IF(D14="","④ 缺位阶",IF(E14="","⑤ 缺制定区域",IF(NOT(ISNUMBER(H14)),"⑧ 施行日期须为日期格式 YYYY-MM-DD",IF(AND(I14&lt;&gt;"现行有效",I14&lt;&gt;"",J14=""),"⑩ 非现行有效须填失效/修订日期",IF(AND(ISNUMBER(J14),ISNUMBER(H14),J14&lt;=H14),"⑩ 失效日期须晚于施行日期",IF(K14="","⑪ 缺主题标签(主)",IF(AND(L14&lt;&gt;"",L14=K14),"⑫ 次标签不得与主标签相同",IF(AND(ISERROR(SEARCH("条",M14)),ISERROR(SEARCH("段",M14)),ISERROR(SEARCH("项",M14))),"⑬ 条文定位须到条/款/项或段",IF(OR(N14="",O14="",P14="",Q14=""),"⑭-⑰ 五要素未填全",IF(LEN(Q14)&gt;120,"⑰ 行为模式内容超120字,请再概括",IF(S14="","⑲ 缺原文摘录",IF(LEN(S14)&gt;200,"⑲ 原文摘录超200字,说明条文选得太大",IF(AND(E14="国家",U14=""),"㉑ 国家层须填央地权限配置",IF(AND(E14="国家",V14&lt;&gt;""),"㉒ 国家层不填地方自主权类型",IF(AND(E14&lt;&gt;"国家",V14=""),"㉒ 地方层须填地方自主权类型",IF(AND(E14&lt;&gt;"国家",U14&lt;&gt;""),"㉑ 地方层不填央地权限配置",IF(W14="","㉓ 缺核实来源",IF(X14="","㉔ 缺录入人",IF(Y14="","㉕ 缺版本号","✔ 通过基础校验"))))))))))))))))))))))),"⚠ 自检公式受损(勿用剪切移动单元格),请告知老师修复")</f>
        <v/>
      </c>
    </row>
    <row r="15" customFormat="false" ht="30" hidden="false" customHeight="true" outlineLevel="0" collapsed="false">
      <c r="A15" s="36" t="str">
        <f aca="false">IF($D$4="","",IF(COUNTA($B15:$W15)+COUNTA($Y15:$AA15)=0,"",$D$4&amp;"-"&amp;TEXT(ROW()-7,"000")))</f>
        <v/>
      </c>
      <c r="B15" s="37"/>
      <c r="C15" s="37"/>
      <c r="D15" s="37"/>
      <c r="E15" s="37"/>
      <c r="F15" s="37"/>
      <c r="G15" s="38"/>
      <c r="H15" s="38"/>
      <c r="I15" s="37"/>
      <c r="J15" s="38"/>
      <c r="K15" s="37"/>
      <c r="L15" s="37"/>
      <c r="M15" s="37"/>
      <c r="N15" s="37"/>
      <c r="O15" s="37"/>
      <c r="P15" s="37"/>
      <c r="Q15" s="37"/>
      <c r="R15" s="37"/>
      <c r="S15" s="37"/>
      <c r="T15" s="37"/>
      <c r="U15" s="37"/>
      <c r="V15" s="37"/>
      <c r="W15" s="37"/>
      <c r="X15" s="36" t="str">
        <f aca="false">IF($A15="","",TRIM($B$4&amp;" "&amp;$D$4))</f>
        <v/>
      </c>
      <c r="Y15" s="37"/>
      <c r="Z15" s="38"/>
      <c r="AA15" s="37"/>
      <c r="AB15" s="39" t="str">
        <f aca="false">IFERROR(IF(COUNTA($B15:$W15)+COUNTA($Y15:$AA15)=0,"",IF(A15="","① 条目ID未生成(先在顶栏填学号与编号)",IF(COUNTIF($A$8:$A$207,A15)&gt;1,"① 条目ID重复",IF(B15="","② 缺文件名称",IF(D15="","④ 缺位阶",IF(E15="","⑤ 缺制定区域",IF(NOT(ISNUMBER(H15)),"⑧ 施行日期须为日期格式 YYYY-MM-DD",IF(AND(I15&lt;&gt;"现行有效",I15&lt;&gt;"",J15=""),"⑩ 非现行有效须填失效/修订日期",IF(AND(ISNUMBER(J15),ISNUMBER(H15),J15&lt;=H15),"⑩ 失效日期须晚于施行日期",IF(K15="","⑪ 缺主题标签(主)",IF(AND(L15&lt;&gt;"",L15=K15),"⑫ 次标签不得与主标签相同",IF(AND(ISERROR(SEARCH("条",M15)),ISERROR(SEARCH("段",M15)),ISERROR(SEARCH("项",M15))),"⑬ 条文定位须到条/款/项或段",IF(OR(N15="",O15="",P15="",Q15=""),"⑭-⑰ 五要素未填全",IF(LEN(Q15)&gt;120,"⑰ 行为模式内容超120字,请再概括",IF(S15="","⑲ 缺原文摘录",IF(LEN(S15)&gt;200,"⑲ 原文摘录超200字,说明条文选得太大",IF(AND(E15="国家",U15=""),"㉑ 国家层须填央地权限配置",IF(AND(E15="国家",V15&lt;&gt;""),"㉒ 国家层不填地方自主权类型",IF(AND(E15&lt;&gt;"国家",V15=""),"㉒ 地方层须填地方自主权类型",IF(AND(E15&lt;&gt;"国家",U15&lt;&gt;""),"㉑ 地方层不填央地权限配置",IF(W15="","㉓ 缺核实来源",IF(X15="","㉔ 缺录入人",IF(Y15="","㉕ 缺版本号","✔ 通过基础校验"))))))))))))))))))))))),"⚠ 自检公式受损(勿用剪切移动单元格),请告知老师修复")</f>
        <v/>
      </c>
    </row>
    <row r="16" customFormat="false" ht="30" hidden="false" customHeight="true" outlineLevel="0" collapsed="false">
      <c r="A16" s="36" t="str">
        <f aca="false">IF($D$4="","",IF(COUNTA($B16:$W16)+COUNTA($Y16:$AA16)=0,"",$D$4&amp;"-"&amp;TEXT(ROW()-7,"000")))</f>
        <v/>
      </c>
      <c r="B16" s="37"/>
      <c r="C16" s="37"/>
      <c r="D16" s="37"/>
      <c r="E16" s="37"/>
      <c r="F16" s="37"/>
      <c r="G16" s="38"/>
      <c r="H16" s="38"/>
      <c r="I16" s="37"/>
      <c r="J16" s="38"/>
      <c r="K16" s="37"/>
      <c r="L16" s="37"/>
      <c r="M16" s="37"/>
      <c r="N16" s="37"/>
      <c r="O16" s="37"/>
      <c r="P16" s="37"/>
      <c r="Q16" s="37"/>
      <c r="R16" s="37"/>
      <c r="S16" s="37"/>
      <c r="T16" s="37"/>
      <c r="U16" s="37"/>
      <c r="V16" s="37"/>
      <c r="W16" s="37"/>
      <c r="X16" s="36" t="str">
        <f aca="false">IF($A16="","",TRIM($B$4&amp;" "&amp;$D$4))</f>
        <v/>
      </c>
      <c r="Y16" s="37"/>
      <c r="Z16" s="38"/>
      <c r="AA16" s="37"/>
      <c r="AB16" s="39" t="str">
        <f aca="false">IFERROR(IF(COUNTA($B16:$W16)+COUNTA($Y16:$AA16)=0,"",IF(A16="","① 条目ID未生成(先在顶栏填学号与编号)",IF(COUNTIF($A$8:$A$207,A16)&gt;1,"① 条目ID重复",IF(B16="","② 缺文件名称",IF(D16="","④ 缺位阶",IF(E16="","⑤ 缺制定区域",IF(NOT(ISNUMBER(H16)),"⑧ 施行日期须为日期格式 YYYY-MM-DD",IF(AND(I16&lt;&gt;"现行有效",I16&lt;&gt;"",J16=""),"⑩ 非现行有效须填失效/修订日期",IF(AND(ISNUMBER(J16),ISNUMBER(H16),J16&lt;=H16),"⑩ 失效日期须晚于施行日期",IF(K16="","⑪ 缺主题标签(主)",IF(AND(L16&lt;&gt;"",L16=K16),"⑫ 次标签不得与主标签相同",IF(AND(ISERROR(SEARCH("条",M16)),ISERROR(SEARCH("段",M16)),ISERROR(SEARCH("项",M16))),"⑬ 条文定位须到条/款/项或段",IF(OR(N16="",O16="",P16="",Q16=""),"⑭-⑰ 五要素未填全",IF(LEN(Q16)&gt;120,"⑰ 行为模式内容超120字,请再概括",IF(S16="","⑲ 缺原文摘录",IF(LEN(S16)&gt;200,"⑲ 原文摘录超200字,说明条文选得太大",IF(AND(E16="国家",U16=""),"㉑ 国家层须填央地权限配置",IF(AND(E16="国家",V16&lt;&gt;""),"㉒ 国家层不填地方自主权类型",IF(AND(E16&lt;&gt;"国家",V16=""),"㉒ 地方层须填地方自主权类型",IF(AND(E16&lt;&gt;"国家",U16&lt;&gt;""),"㉑ 地方层不填央地权限配置",IF(W16="","㉓ 缺核实来源",IF(X16="","㉔ 缺录入人",IF(Y16="","㉕ 缺版本号","✔ 通过基础校验"))))))))))))))))))))))),"⚠ 自检公式受损(勿用剪切移动单元格),请告知老师修复")</f>
        <v/>
      </c>
    </row>
    <row r="17" customFormat="false" ht="30" hidden="false" customHeight="true" outlineLevel="0" collapsed="false">
      <c r="A17" s="36" t="str">
        <f aca="false">IF($D$4="","",IF(COUNTA($B17:$W17)+COUNTA($Y17:$AA17)=0,"",$D$4&amp;"-"&amp;TEXT(ROW()-7,"000")))</f>
        <v/>
      </c>
      <c r="B17" s="37"/>
      <c r="C17" s="37"/>
      <c r="D17" s="37"/>
      <c r="E17" s="37"/>
      <c r="F17" s="37"/>
      <c r="G17" s="38"/>
      <c r="H17" s="38"/>
      <c r="I17" s="37"/>
      <c r="J17" s="38"/>
      <c r="K17" s="37"/>
      <c r="L17" s="37"/>
      <c r="M17" s="37"/>
      <c r="N17" s="37"/>
      <c r="O17" s="37"/>
      <c r="P17" s="37"/>
      <c r="Q17" s="37"/>
      <c r="R17" s="37"/>
      <c r="S17" s="37"/>
      <c r="T17" s="37"/>
      <c r="U17" s="37"/>
      <c r="V17" s="37"/>
      <c r="W17" s="37"/>
      <c r="X17" s="36" t="str">
        <f aca="false">IF($A17="","",TRIM($B$4&amp;" "&amp;$D$4))</f>
        <v/>
      </c>
      <c r="Y17" s="37"/>
      <c r="Z17" s="38"/>
      <c r="AA17" s="37"/>
      <c r="AB17" s="39" t="str">
        <f aca="false">IFERROR(IF(COUNTA($B17:$W17)+COUNTA($Y17:$AA17)=0,"",IF(A17="","① 条目ID未生成(先在顶栏填学号与编号)",IF(COUNTIF($A$8:$A$207,A17)&gt;1,"① 条目ID重复",IF(B17="","② 缺文件名称",IF(D17="","④ 缺位阶",IF(E17="","⑤ 缺制定区域",IF(NOT(ISNUMBER(H17)),"⑧ 施行日期须为日期格式 YYYY-MM-DD",IF(AND(I17&lt;&gt;"现行有效",I17&lt;&gt;"",J17=""),"⑩ 非现行有效须填失效/修订日期",IF(AND(ISNUMBER(J17),ISNUMBER(H17),J17&lt;=H17),"⑩ 失效日期须晚于施行日期",IF(K17="","⑪ 缺主题标签(主)",IF(AND(L17&lt;&gt;"",L17=K17),"⑫ 次标签不得与主标签相同",IF(AND(ISERROR(SEARCH("条",M17)),ISERROR(SEARCH("段",M17)),ISERROR(SEARCH("项",M17))),"⑬ 条文定位须到条/款/项或段",IF(OR(N17="",O17="",P17="",Q17=""),"⑭-⑰ 五要素未填全",IF(LEN(Q17)&gt;120,"⑰ 行为模式内容超120字,请再概括",IF(S17="","⑲ 缺原文摘录",IF(LEN(S17)&gt;200,"⑲ 原文摘录超200字,说明条文选得太大",IF(AND(E17="国家",U17=""),"㉑ 国家层须填央地权限配置",IF(AND(E17="国家",V17&lt;&gt;""),"㉒ 国家层不填地方自主权类型",IF(AND(E17&lt;&gt;"国家",V17=""),"㉒ 地方层须填地方自主权类型",IF(AND(E17&lt;&gt;"国家",U17&lt;&gt;""),"㉑ 地方层不填央地权限配置",IF(W17="","㉓ 缺核实来源",IF(X17="","㉔ 缺录入人",IF(Y17="","㉕ 缺版本号","✔ 通过基础校验"))))))))))))))))))))))),"⚠ 自检公式受损(勿用剪切移动单元格),请告知老师修复")</f>
        <v/>
      </c>
    </row>
    <row r="18" customFormat="false" ht="30" hidden="false" customHeight="true" outlineLevel="0" collapsed="false">
      <c r="A18" s="36" t="str">
        <f aca="false">IF($D$4="","",IF(COUNTA($B18:$W18)+COUNTA($Y18:$AA18)=0,"",$D$4&amp;"-"&amp;TEXT(ROW()-7,"000")))</f>
        <v/>
      </c>
      <c r="B18" s="37"/>
      <c r="C18" s="37"/>
      <c r="D18" s="37"/>
      <c r="E18" s="37"/>
      <c r="F18" s="37"/>
      <c r="G18" s="38"/>
      <c r="H18" s="38"/>
      <c r="I18" s="37"/>
      <c r="J18" s="38"/>
      <c r="K18" s="37"/>
      <c r="L18" s="37"/>
      <c r="M18" s="37"/>
      <c r="N18" s="37"/>
      <c r="O18" s="37"/>
      <c r="P18" s="37"/>
      <c r="Q18" s="37"/>
      <c r="R18" s="37"/>
      <c r="S18" s="37"/>
      <c r="T18" s="37"/>
      <c r="U18" s="37"/>
      <c r="V18" s="37"/>
      <c r="W18" s="37"/>
      <c r="X18" s="36" t="str">
        <f aca="false">IF($A18="","",TRIM($B$4&amp;" "&amp;$D$4))</f>
        <v/>
      </c>
      <c r="Y18" s="37"/>
      <c r="Z18" s="38"/>
      <c r="AA18" s="37"/>
      <c r="AB18" s="39" t="str">
        <f aca="false">IFERROR(IF(COUNTA($B18:$W18)+COUNTA($Y18:$AA18)=0,"",IF(A18="","① 条目ID未生成(先在顶栏填学号与编号)",IF(COUNTIF($A$8:$A$207,A18)&gt;1,"① 条目ID重复",IF(B18="","② 缺文件名称",IF(D18="","④ 缺位阶",IF(E18="","⑤ 缺制定区域",IF(NOT(ISNUMBER(H18)),"⑧ 施行日期须为日期格式 YYYY-MM-DD",IF(AND(I18&lt;&gt;"现行有效",I18&lt;&gt;"",J18=""),"⑩ 非现行有效须填失效/修订日期",IF(AND(ISNUMBER(J18),ISNUMBER(H18),J18&lt;=H18),"⑩ 失效日期须晚于施行日期",IF(K18="","⑪ 缺主题标签(主)",IF(AND(L18&lt;&gt;"",L18=K18),"⑫ 次标签不得与主标签相同",IF(AND(ISERROR(SEARCH("条",M18)),ISERROR(SEARCH("段",M18)),ISERROR(SEARCH("项",M18))),"⑬ 条文定位须到条/款/项或段",IF(OR(N18="",O18="",P18="",Q18=""),"⑭-⑰ 五要素未填全",IF(LEN(Q18)&gt;120,"⑰ 行为模式内容超120字,请再概括",IF(S18="","⑲ 缺原文摘录",IF(LEN(S18)&gt;200,"⑲ 原文摘录超200字,说明条文选得太大",IF(AND(E18="国家",U18=""),"㉑ 国家层须填央地权限配置",IF(AND(E18="国家",V18&lt;&gt;""),"㉒ 国家层不填地方自主权类型",IF(AND(E18&lt;&gt;"国家",V18=""),"㉒ 地方层须填地方自主权类型",IF(AND(E18&lt;&gt;"国家",U18&lt;&gt;""),"㉑ 地方层不填央地权限配置",IF(W18="","㉓ 缺核实来源",IF(X18="","㉔ 缺录入人",IF(Y18="","㉕ 缺版本号","✔ 通过基础校验"))))))))))))))))))))))),"⚠ 自检公式受损(勿用剪切移动单元格),请告知老师修复")</f>
        <v/>
      </c>
    </row>
    <row r="19" customFormat="false" ht="30" hidden="false" customHeight="true" outlineLevel="0" collapsed="false">
      <c r="A19" s="36" t="str">
        <f aca="false">IF($D$4="","",IF(COUNTA($B19:$W19)+COUNTA($Y19:$AA19)=0,"",$D$4&amp;"-"&amp;TEXT(ROW()-7,"000")))</f>
        <v/>
      </c>
      <c r="B19" s="37"/>
      <c r="C19" s="37"/>
      <c r="D19" s="37"/>
      <c r="E19" s="37"/>
      <c r="F19" s="37"/>
      <c r="G19" s="38"/>
      <c r="H19" s="38"/>
      <c r="I19" s="37"/>
      <c r="J19" s="38"/>
      <c r="K19" s="37"/>
      <c r="L19" s="37"/>
      <c r="M19" s="37"/>
      <c r="N19" s="37"/>
      <c r="O19" s="37"/>
      <c r="P19" s="37"/>
      <c r="Q19" s="37"/>
      <c r="R19" s="37"/>
      <c r="S19" s="37"/>
      <c r="T19" s="37"/>
      <c r="U19" s="37"/>
      <c r="V19" s="37"/>
      <c r="W19" s="37"/>
      <c r="X19" s="36" t="str">
        <f aca="false">IF($A19="","",TRIM($B$4&amp;" "&amp;$D$4))</f>
        <v/>
      </c>
      <c r="Y19" s="37"/>
      <c r="Z19" s="38"/>
      <c r="AA19" s="37"/>
      <c r="AB19" s="39" t="str">
        <f aca="false">IFERROR(IF(COUNTA($B19:$W19)+COUNTA($Y19:$AA19)=0,"",IF(A19="","① 条目ID未生成(先在顶栏填学号与编号)",IF(COUNTIF($A$8:$A$207,A19)&gt;1,"① 条目ID重复",IF(B19="","② 缺文件名称",IF(D19="","④ 缺位阶",IF(E19="","⑤ 缺制定区域",IF(NOT(ISNUMBER(H19)),"⑧ 施行日期须为日期格式 YYYY-MM-DD",IF(AND(I19&lt;&gt;"现行有效",I19&lt;&gt;"",J19=""),"⑩ 非现行有效须填失效/修订日期",IF(AND(ISNUMBER(J19),ISNUMBER(H19),J19&lt;=H19),"⑩ 失效日期须晚于施行日期",IF(K19="","⑪ 缺主题标签(主)",IF(AND(L19&lt;&gt;"",L19=K19),"⑫ 次标签不得与主标签相同",IF(AND(ISERROR(SEARCH("条",M19)),ISERROR(SEARCH("段",M19)),ISERROR(SEARCH("项",M19))),"⑬ 条文定位须到条/款/项或段",IF(OR(N19="",O19="",P19="",Q19=""),"⑭-⑰ 五要素未填全",IF(LEN(Q19)&gt;120,"⑰ 行为模式内容超120字,请再概括",IF(S19="","⑲ 缺原文摘录",IF(LEN(S19)&gt;200,"⑲ 原文摘录超200字,说明条文选得太大",IF(AND(E19="国家",U19=""),"㉑ 国家层须填央地权限配置",IF(AND(E19="国家",V19&lt;&gt;""),"㉒ 国家层不填地方自主权类型",IF(AND(E19&lt;&gt;"国家",V19=""),"㉒ 地方层须填地方自主权类型",IF(AND(E19&lt;&gt;"国家",U19&lt;&gt;""),"㉑ 地方层不填央地权限配置",IF(W19="","㉓ 缺核实来源",IF(X19="","㉔ 缺录入人",IF(Y19="","㉕ 缺版本号","✔ 通过基础校验"))))))))))))))))))))))),"⚠ 自检公式受损(勿用剪切移动单元格),请告知老师修复")</f>
        <v/>
      </c>
    </row>
    <row r="20" customFormat="false" ht="30" hidden="false" customHeight="true" outlineLevel="0" collapsed="false">
      <c r="A20" s="36" t="str">
        <f aca="false">IF($D$4="","",IF(COUNTA($B20:$W20)+COUNTA($Y20:$AA20)=0,"",$D$4&amp;"-"&amp;TEXT(ROW()-7,"000")))</f>
        <v/>
      </c>
      <c r="B20" s="37"/>
      <c r="C20" s="37"/>
      <c r="D20" s="37"/>
      <c r="E20" s="37"/>
      <c r="F20" s="37"/>
      <c r="G20" s="38"/>
      <c r="H20" s="38"/>
      <c r="I20" s="37"/>
      <c r="J20" s="38"/>
      <c r="K20" s="37"/>
      <c r="L20" s="37"/>
      <c r="M20" s="37"/>
      <c r="N20" s="37"/>
      <c r="O20" s="37"/>
      <c r="P20" s="37"/>
      <c r="Q20" s="37"/>
      <c r="R20" s="37"/>
      <c r="S20" s="37"/>
      <c r="T20" s="37"/>
      <c r="U20" s="37"/>
      <c r="V20" s="37"/>
      <c r="W20" s="37"/>
      <c r="X20" s="36" t="str">
        <f aca="false">IF($A20="","",TRIM($B$4&amp;" "&amp;$D$4))</f>
        <v/>
      </c>
      <c r="Y20" s="37"/>
      <c r="Z20" s="38"/>
      <c r="AA20" s="37"/>
      <c r="AB20" s="39" t="str">
        <f aca="false">IFERROR(IF(COUNTA($B20:$W20)+COUNTA($Y20:$AA20)=0,"",IF(A20="","① 条目ID未生成(先在顶栏填学号与编号)",IF(COUNTIF($A$8:$A$207,A20)&gt;1,"① 条目ID重复",IF(B20="","② 缺文件名称",IF(D20="","④ 缺位阶",IF(E20="","⑤ 缺制定区域",IF(NOT(ISNUMBER(H20)),"⑧ 施行日期须为日期格式 YYYY-MM-DD",IF(AND(I20&lt;&gt;"现行有效",I20&lt;&gt;"",J20=""),"⑩ 非现行有效须填失效/修订日期",IF(AND(ISNUMBER(J20),ISNUMBER(H20),J20&lt;=H20),"⑩ 失效日期须晚于施行日期",IF(K20="","⑪ 缺主题标签(主)",IF(AND(L20&lt;&gt;"",L20=K20),"⑫ 次标签不得与主标签相同",IF(AND(ISERROR(SEARCH("条",M20)),ISERROR(SEARCH("段",M20)),ISERROR(SEARCH("项",M20))),"⑬ 条文定位须到条/款/项或段",IF(OR(N20="",O20="",P20="",Q20=""),"⑭-⑰ 五要素未填全",IF(LEN(Q20)&gt;120,"⑰ 行为模式内容超120字,请再概括",IF(S20="","⑲ 缺原文摘录",IF(LEN(S20)&gt;200,"⑲ 原文摘录超200字,说明条文选得太大",IF(AND(E20="国家",U20=""),"㉑ 国家层须填央地权限配置",IF(AND(E20="国家",V20&lt;&gt;""),"㉒ 国家层不填地方自主权类型",IF(AND(E20&lt;&gt;"国家",V20=""),"㉒ 地方层须填地方自主权类型",IF(AND(E20&lt;&gt;"国家",U20&lt;&gt;""),"㉑ 地方层不填央地权限配置",IF(W20="","㉓ 缺核实来源",IF(X20="","㉔ 缺录入人",IF(Y20="","㉕ 缺版本号","✔ 通过基础校验"))))))))))))))))))))))),"⚠ 自检公式受损(勿用剪切移动单元格),请告知老师修复")</f>
        <v/>
      </c>
    </row>
    <row r="21" customFormat="false" ht="30" hidden="false" customHeight="true" outlineLevel="0" collapsed="false">
      <c r="A21" s="36" t="str">
        <f aca="false">IF($D$4="","",IF(COUNTA($B21:$W21)+COUNTA($Y21:$AA21)=0,"",$D$4&amp;"-"&amp;TEXT(ROW()-7,"000")))</f>
        <v/>
      </c>
      <c r="B21" s="37"/>
      <c r="C21" s="37"/>
      <c r="D21" s="37"/>
      <c r="E21" s="37"/>
      <c r="F21" s="37"/>
      <c r="G21" s="38"/>
      <c r="H21" s="38"/>
      <c r="I21" s="37"/>
      <c r="J21" s="38"/>
      <c r="K21" s="37"/>
      <c r="L21" s="37"/>
      <c r="M21" s="37"/>
      <c r="N21" s="37"/>
      <c r="O21" s="37"/>
      <c r="P21" s="37"/>
      <c r="Q21" s="37"/>
      <c r="R21" s="37"/>
      <c r="S21" s="37"/>
      <c r="T21" s="37"/>
      <c r="U21" s="37"/>
      <c r="V21" s="37"/>
      <c r="W21" s="37"/>
      <c r="X21" s="36" t="str">
        <f aca="false">IF($A21="","",TRIM($B$4&amp;" "&amp;$D$4))</f>
        <v/>
      </c>
      <c r="Y21" s="37"/>
      <c r="Z21" s="38"/>
      <c r="AA21" s="37"/>
      <c r="AB21" s="39" t="str">
        <f aca="false">IFERROR(IF(COUNTA($B21:$W21)+COUNTA($Y21:$AA21)=0,"",IF(A21="","① 条目ID未生成(先在顶栏填学号与编号)",IF(COUNTIF($A$8:$A$207,A21)&gt;1,"① 条目ID重复",IF(B21="","② 缺文件名称",IF(D21="","④ 缺位阶",IF(E21="","⑤ 缺制定区域",IF(NOT(ISNUMBER(H21)),"⑧ 施行日期须为日期格式 YYYY-MM-DD",IF(AND(I21&lt;&gt;"现行有效",I21&lt;&gt;"",J21=""),"⑩ 非现行有效须填失效/修订日期",IF(AND(ISNUMBER(J21),ISNUMBER(H21),J21&lt;=H21),"⑩ 失效日期须晚于施行日期",IF(K21="","⑪ 缺主题标签(主)",IF(AND(L21&lt;&gt;"",L21=K21),"⑫ 次标签不得与主标签相同",IF(AND(ISERROR(SEARCH("条",M21)),ISERROR(SEARCH("段",M21)),ISERROR(SEARCH("项",M21))),"⑬ 条文定位须到条/款/项或段",IF(OR(N21="",O21="",P21="",Q21=""),"⑭-⑰ 五要素未填全",IF(LEN(Q21)&gt;120,"⑰ 行为模式内容超120字,请再概括",IF(S21="","⑲ 缺原文摘录",IF(LEN(S21)&gt;200,"⑲ 原文摘录超200字,说明条文选得太大",IF(AND(E21="国家",U21=""),"㉑ 国家层须填央地权限配置",IF(AND(E21="国家",V21&lt;&gt;""),"㉒ 国家层不填地方自主权类型",IF(AND(E21&lt;&gt;"国家",V21=""),"㉒ 地方层须填地方自主权类型",IF(AND(E21&lt;&gt;"国家",U21&lt;&gt;""),"㉑ 地方层不填央地权限配置",IF(W21="","㉓ 缺核实来源",IF(X21="","㉔ 缺录入人",IF(Y21="","㉕ 缺版本号","✔ 通过基础校验"))))))))))))))))))))))),"⚠ 自检公式受损(勿用剪切移动单元格),请告知老师修复")</f>
        <v/>
      </c>
    </row>
    <row r="22" customFormat="false" ht="30" hidden="false" customHeight="true" outlineLevel="0" collapsed="false">
      <c r="A22" s="36" t="str">
        <f aca="false">IF($D$4="","",IF(COUNTA($B22:$W22)+COUNTA($Y22:$AA22)=0,"",$D$4&amp;"-"&amp;TEXT(ROW()-7,"000")))</f>
        <v/>
      </c>
      <c r="B22" s="37"/>
      <c r="C22" s="37"/>
      <c r="D22" s="37"/>
      <c r="E22" s="37"/>
      <c r="F22" s="37"/>
      <c r="G22" s="38"/>
      <c r="H22" s="38"/>
      <c r="I22" s="37"/>
      <c r="J22" s="38"/>
      <c r="K22" s="37"/>
      <c r="L22" s="37"/>
      <c r="M22" s="37"/>
      <c r="N22" s="37"/>
      <c r="O22" s="37"/>
      <c r="P22" s="37"/>
      <c r="Q22" s="37"/>
      <c r="R22" s="37"/>
      <c r="S22" s="37"/>
      <c r="T22" s="37"/>
      <c r="U22" s="37"/>
      <c r="V22" s="37"/>
      <c r="W22" s="37"/>
      <c r="X22" s="36" t="str">
        <f aca="false">IF($A22="","",TRIM($B$4&amp;" "&amp;$D$4))</f>
        <v/>
      </c>
      <c r="Y22" s="37"/>
      <c r="Z22" s="38"/>
      <c r="AA22" s="37"/>
      <c r="AB22" s="39" t="str">
        <f aca="false">IFERROR(IF(COUNTA($B22:$W22)+COUNTA($Y22:$AA22)=0,"",IF(A22="","① 条目ID未生成(先在顶栏填学号与编号)",IF(COUNTIF($A$8:$A$207,A22)&gt;1,"① 条目ID重复",IF(B22="","② 缺文件名称",IF(D22="","④ 缺位阶",IF(E22="","⑤ 缺制定区域",IF(NOT(ISNUMBER(H22)),"⑧ 施行日期须为日期格式 YYYY-MM-DD",IF(AND(I22&lt;&gt;"现行有效",I22&lt;&gt;"",J22=""),"⑩ 非现行有效须填失效/修订日期",IF(AND(ISNUMBER(J22),ISNUMBER(H22),J22&lt;=H22),"⑩ 失效日期须晚于施行日期",IF(K22="","⑪ 缺主题标签(主)",IF(AND(L22&lt;&gt;"",L22=K22),"⑫ 次标签不得与主标签相同",IF(AND(ISERROR(SEARCH("条",M22)),ISERROR(SEARCH("段",M22)),ISERROR(SEARCH("项",M22))),"⑬ 条文定位须到条/款/项或段",IF(OR(N22="",O22="",P22="",Q22=""),"⑭-⑰ 五要素未填全",IF(LEN(Q22)&gt;120,"⑰ 行为模式内容超120字,请再概括",IF(S22="","⑲ 缺原文摘录",IF(LEN(S22)&gt;200,"⑲ 原文摘录超200字,说明条文选得太大",IF(AND(E22="国家",U22=""),"㉑ 国家层须填央地权限配置",IF(AND(E22="国家",V22&lt;&gt;""),"㉒ 国家层不填地方自主权类型",IF(AND(E22&lt;&gt;"国家",V22=""),"㉒ 地方层须填地方自主权类型",IF(AND(E22&lt;&gt;"国家",U22&lt;&gt;""),"㉑ 地方层不填央地权限配置",IF(W22="","㉓ 缺核实来源",IF(X22="","㉔ 缺录入人",IF(Y22="","㉕ 缺版本号","✔ 通过基础校验"))))))))))))))))))))))),"⚠ 自检公式受损(勿用剪切移动单元格),请告知老师修复")</f>
        <v/>
      </c>
    </row>
    <row r="23" customFormat="false" ht="30" hidden="false" customHeight="true" outlineLevel="0" collapsed="false">
      <c r="A23" s="36" t="str">
        <f aca="false">IF($D$4="","",IF(COUNTA($B23:$W23)+COUNTA($Y23:$AA23)=0,"",$D$4&amp;"-"&amp;TEXT(ROW()-7,"000")))</f>
        <v/>
      </c>
      <c r="B23" s="37"/>
      <c r="C23" s="37"/>
      <c r="D23" s="37"/>
      <c r="E23" s="37"/>
      <c r="F23" s="37"/>
      <c r="G23" s="38"/>
      <c r="H23" s="38"/>
      <c r="I23" s="37"/>
      <c r="J23" s="38"/>
      <c r="K23" s="37"/>
      <c r="L23" s="37"/>
      <c r="M23" s="37"/>
      <c r="N23" s="37"/>
      <c r="O23" s="37"/>
      <c r="P23" s="37"/>
      <c r="Q23" s="37"/>
      <c r="R23" s="37"/>
      <c r="S23" s="37"/>
      <c r="T23" s="37"/>
      <c r="U23" s="37"/>
      <c r="V23" s="37"/>
      <c r="W23" s="37"/>
      <c r="X23" s="36" t="str">
        <f aca="false">IF($A23="","",TRIM($B$4&amp;" "&amp;$D$4))</f>
        <v/>
      </c>
      <c r="Y23" s="37"/>
      <c r="Z23" s="38"/>
      <c r="AA23" s="37"/>
      <c r="AB23" s="39" t="str">
        <f aca="false">IFERROR(IF(COUNTA($B23:$W23)+COUNTA($Y23:$AA23)=0,"",IF(A23="","① 条目ID未生成(先在顶栏填学号与编号)",IF(COUNTIF($A$8:$A$207,A23)&gt;1,"① 条目ID重复",IF(B23="","② 缺文件名称",IF(D23="","④ 缺位阶",IF(E23="","⑤ 缺制定区域",IF(NOT(ISNUMBER(H23)),"⑧ 施行日期须为日期格式 YYYY-MM-DD",IF(AND(I23&lt;&gt;"现行有效",I23&lt;&gt;"",J23=""),"⑩ 非现行有效须填失效/修订日期",IF(AND(ISNUMBER(J23),ISNUMBER(H23),J23&lt;=H23),"⑩ 失效日期须晚于施行日期",IF(K23="","⑪ 缺主题标签(主)",IF(AND(L23&lt;&gt;"",L23=K23),"⑫ 次标签不得与主标签相同",IF(AND(ISERROR(SEARCH("条",M23)),ISERROR(SEARCH("段",M23)),ISERROR(SEARCH("项",M23))),"⑬ 条文定位须到条/款/项或段",IF(OR(N23="",O23="",P23="",Q23=""),"⑭-⑰ 五要素未填全",IF(LEN(Q23)&gt;120,"⑰ 行为模式内容超120字,请再概括",IF(S23="","⑲ 缺原文摘录",IF(LEN(S23)&gt;200,"⑲ 原文摘录超200字,说明条文选得太大",IF(AND(E23="国家",U23=""),"㉑ 国家层须填央地权限配置",IF(AND(E23="国家",V23&lt;&gt;""),"㉒ 国家层不填地方自主权类型",IF(AND(E23&lt;&gt;"国家",V23=""),"㉒ 地方层须填地方自主权类型",IF(AND(E23&lt;&gt;"国家",U23&lt;&gt;""),"㉑ 地方层不填央地权限配置",IF(W23="","㉓ 缺核实来源",IF(X23="","㉔ 缺录入人",IF(Y23="","㉕ 缺版本号","✔ 通过基础校验"))))))))))))))))))))))),"⚠ 自检公式受损(勿用剪切移动单元格),请告知老师修复")</f>
        <v/>
      </c>
    </row>
    <row r="24" customFormat="false" ht="30" hidden="false" customHeight="true" outlineLevel="0" collapsed="false">
      <c r="A24" s="36" t="str">
        <f aca="false">IF($D$4="","",IF(COUNTA($B24:$W24)+COUNTA($Y24:$AA24)=0,"",$D$4&amp;"-"&amp;TEXT(ROW()-7,"000")))</f>
        <v/>
      </c>
      <c r="B24" s="37"/>
      <c r="C24" s="37"/>
      <c r="D24" s="37"/>
      <c r="E24" s="37"/>
      <c r="F24" s="37"/>
      <c r="G24" s="38"/>
      <c r="H24" s="38"/>
      <c r="I24" s="37"/>
      <c r="J24" s="38"/>
      <c r="K24" s="37"/>
      <c r="L24" s="37"/>
      <c r="M24" s="37"/>
      <c r="N24" s="37"/>
      <c r="O24" s="37"/>
      <c r="P24" s="37"/>
      <c r="Q24" s="37"/>
      <c r="R24" s="37"/>
      <c r="S24" s="37"/>
      <c r="T24" s="37"/>
      <c r="U24" s="37"/>
      <c r="V24" s="37"/>
      <c r="W24" s="37"/>
      <c r="X24" s="36" t="str">
        <f aca="false">IF($A24="","",TRIM($B$4&amp;" "&amp;$D$4))</f>
        <v/>
      </c>
      <c r="Y24" s="37"/>
      <c r="Z24" s="38"/>
      <c r="AA24" s="37"/>
      <c r="AB24" s="39" t="str">
        <f aca="false">IFERROR(IF(COUNTA($B24:$W24)+COUNTA($Y24:$AA24)=0,"",IF(A24="","① 条目ID未生成(先在顶栏填学号与编号)",IF(COUNTIF($A$8:$A$207,A24)&gt;1,"① 条目ID重复",IF(B24="","② 缺文件名称",IF(D24="","④ 缺位阶",IF(E24="","⑤ 缺制定区域",IF(NOT(ISNUMBER(H24)),"⑧ 施行日期须为日期格式 YYYY-MM-DD",IF(AND(I24&lt;&gt;"现行有效",I24&lt;&gt;"",J24=""),"⑩ 非现行有效须填失效/修订日期",IF(AND(ISNUMBER(J24),ISNUMBER(H24),J24&lt;=H24),"⑩ 失效日期须晚于施行日期",IF(K24="","⑪ 缺主题标签(主)",IF(AND(L24&lt;&gt;"",L24=K24),"⑫ 次标签不得与主标签相同",IF(AND(ISERROR(SEARCH("条",M24)),ISERROR(SEARCH("段",M24)),ISERROR(SEARCH("项",M24))),"⑬ 条文定位须到条/款/项或段",IF(OR(N24="",O24="",P24="",Q24=""),"⑭-⑰ 五要素未填全",IF(LEN(Q24)&gt;120,"⑰ 行为模式内容超120字,请再概括",IF(S24="","⑲ 缺原文摘录",IF(LEN(S24)&gt;200,"⑲ 原文摘录超200字,说明条文选得太大",IF(AND(E24="国家",U24=""),"㉑ 国家层须填央地权限配置",IF(AND(E24="国家",V24&lt;&gt;""),"㉒ 国家层不填地方自主权类型",IF(AND(E24&lt;&gt;"国家",V24=""),"㉒ 地方层须填地方自主权类型",IF(AND(E24&lt;&gt;"国家",U24&lt;&gt;""),"㉑ 地方层不填央地权限配置",IF(W24="","㉓ 缺核实来源",IF(X24="","㉔ 缺录入人",IF(Y24="","㉕ 缺版本号","✔ 通过基础校验"))))))))))))))))))))))),"⚠ 自检公式受损(勿用剪切移动单元格),请告知老师修复")</f>
        <v/>
      </c>
    </row>
    <row r="25" customFormat="false" ht="30" hidden="false" customHeight="true" outlineLevel="0" collapsed="false">
      <c r="A25" s="36" t="str">
        <f aca="false">IF($D$4="","",IF(COUNTA($B25:$W25)+COUNTA($Y25:$AA25)=0,"",$D$4&amp;"-"&amp;TEXT(ROW()-7,"000")))</f>
        <v/>
      </c>
      <c r="B25" s="37"/>
      <c r="C25" s="37"/>
      <c r="D25" s="37"/>
      <c r="E25" s="37"/>
      <c r="F25" s="37"/>
      <c r="G25" s="38"/>
      <c r="H25" s="38"/>
      <c r="I25" s="37"/>
      <c r="J25" s="38"/>
      <c r="K25" s="37"/>
      <c r="L25" s="37"/>
      <c r="M25" s="37"/>
      <c r="N25" s="37"/>
      <c r="O25" s="37"/>
      <c r="P25" s="37"/>
      <c r="Q25" s="37"/>
      <c r="R25" s="37"/>
      <c r="S25" s="37"/>
      <c r="T25" s="37"/>
      <c r="U25" s="37"/>
      <c r="V25" s="37"/>
      <c r="W25" s="37"/>
      <c r="X25" s="36" t="str">
        <f aca="false">IF($A25="","",TRIM($B$4&amp;" "&amp;$D$4))</f>
        <v/>
      </c>
      <c r="Y25" s="37"/>
      <c r="Z25" s="38"/>
      <c r="AA25" s="37"/>
      <c r="AB25" s="39" t="str">
        <f aca="false">IFERROR(IF(COUNTA($B25:$W25)+COUNTA($Y25:$AA25)=0,"",IF(A25="","① 条目ID未生成(先在顶栏填学号与编号)",IF(COUNTIF($A$8:$A$207,A25)&gt;1,"① 条目ID重复",IF(B25="","② 缺文件名称",IF(D25="","④ 缺位阶",IF(E25="","⑤ 缺制定区域",IF(NOT(ISNUMBER(H25)),"⑧ 施行日期须为日期格式 YYYY-MM-DD",IF(AND(I25&lt;&gt;"现行有效",I25&lt;&gt;"",J25=""),"⑩ 非现行有效须填失效/修订日期",IF(AND(ISNUMBER(J25),ISNUMBER(H25),J25&lt;=H25),"⑩ 失效日期须晚于施行日期",IF(K25="","⑪ 缺主题标签(主)",IF(AND(L25&lt;&gt;"",L25=K25),"⑫ 次标签不得与主标签相同",IF(AND(ISERROR(SEARCH("条",M25)),ISERROR(SEARCH("段",M25)),ISERROR(SEARCH("项",M25))),"⑬ 条文定位须到条/款/项或段",IF(OR(N25="",O25="",P25="",Q25=""),"⑭-⑰ 五要素未填全",IF(LEN(Q25)&gt;120,"⑰ 行为模式内容超120字,请再概括",IF(S25="","⑲ 缺原文摘录",IF(LEN(S25)&gt;200,"⑲ 原文摘录超200字,说明条文选得太大",IF(AND(E25="国家",U25=""),"㉑ 国家层须填央地权限配置",IF(AND(E25="国家",V25&lt;&gt;""),"㉒ 国家层不填地方自主权类型",IF(AND(E25&lt;&gt;"国家",V25=""),"㉒ 地方层须填地方自主权类型",IF(AND(E25&lt;&gt;"国家",U25&lt;&gt;""),"㉑ 地方层不填央地权限配置",IF(W25="","㉓ 缺核实来源",IF(X25="","㉔ 缺录入人",IF(Y25="","㉕ 缺版本号","✔ 通过基础校验"))))))))))))))))))))))),"⚠ 自检公式受损(勿用剪切移动单元格),请告知老师修复")</f>
        <v/>
      </c>
    </row>
    <row r="26" customFormat="false" ht="30" hidden="false" customHeight="true" outlineLevel="0" collapsed="false">
      <c r="A26" s="36" t="str">
        <f aca="false">IF($D$4="","",IF(COUNTA($B26:$W26)+COUNTA($Y26:$AA26)=0,"",$D$4&amp;"-"&amp;TEXT(ROW()-7,"000")))</f>
        <v/>
      </c>
      <c r="B26" s="37"/>
      <c r="C26" s="37"/>
      <c r="D26" s="37"/>
      <c r="E26" s="37"/>
      <c r="F26" s="37"/>
      <c r="G26" s="38"/>
      <c r="H26" s="38"/>
      <c r="I26" s="37"/>
      <c r="J26" s="38"/>
      <c r="K26" s="37"/>
      <c r="L26" s="37"/>
      <c r="M26" s="37"/>
      <c r="N26" s="37"/>
      <c r="O26" s="37"/>
      <c r="P26" s="37"/>
      <c r="Q26" s="37"/>
      <c r="R26" s="37"/>
      <c r="S26" s="37"/>
      <c r="T26" s="37"/>
      <c r="U26" s="37"/>
      <c r="V26" s="37"/>
      <c r="W26" s="37"/>
      <c r="X26" s="36" t="str">
        <f aca="false">IF($A26="","",TRIM($B$4&amp;" "&amp;$D$4))</f>
        <v/>
      </c>
      <c r="Y26" s="37"/>
      <c r="Z26" s="38"/>
      <c r="AA26" s="37"/>
      <c r="AB26" s="39" t="str">
        <f aca="false">IFERROR(IF(COUNTA($B26:$W26)+COUNTA($Y26:$AA26)=0,"",IF(A26="","① 条目ID未生成(先在顶栏填学号与编号)",IF(COUNTIF($A$8:$A$207,A26)&gt;1,"① 条目ID重复",IF(B26="","② 缺文件名称",IF(D26="","④ 缺位阶",IF(E26="","⑤ 缺制定区域",IF(NOT(ISNUMBER(H26)),"⑧ 施行日期须为日期格式 YYYY-MM-DD",IF(AND(I26&lt;&gt;"现行有效",I26&lt;&gt;"",J26=""),"⑩ 非现行有效须填失效/修订日期",IF(AND(ISNUMBER(J26),ISNUMBER(H26),J26&lt;=H26),"⑩ 失效日期须晚于施行日期",IF(K26="","⑪ 缺主题标签(主)",IF(AND(L26&lt;&gt;"",L26=K26),"⑫ 次标签不得与主标签相同",IF(AND(ISERROR(SEARCH("条",M26)),ISERROR(SEARCH("段",M26)),ISERROR(SEARCH("项",M26))),"⑬ 条文定位须到条/款/项或段",IF(OR(N26="",O26="",P26="",Q26=""),"⑭-⑰ 五要素未填全",IF(LEN(Q26)&gt;120,"⑰ 行为模式内容超120字,请再概括",IF(S26="","⑲ 缺原文摘录",IF(LEN(S26)&gt;200,"⑲ 原文摘录超200字,说明条文选得太大",IF(AND(E26="国家",U26=""),"㉑ 国家层须填央地权限配置",IF(AND(E26="国家",V26&lt;&gt;""),"㉒ 国家层不填地方自主权类型",IF(AND(E26&lt;&gt;"国家",V26=""),"㉒ 地方层须填地方自主权类型",IF(AND(E26&lt;&gt;"国家",U26&lt;&gt;""),"㉑ 地方层不填央地权限配置",IF(W26="","㉓ 缺核实来源",IF(X26="","㉔ 缺录入人",IF(Y26="","㉕ 缺版本号","✔ 通过基础校验"))))))))))))))))))))))),"⚠ 自检公式受损(勿用剪切移动单元格),请告知老师修复")</f>
        <v/>
      </c>
    </row>
    <row r="27" customFormat="false" ht="30" hidden="false" customHeight="true" outlineLevel="0" collapsed="false">
      <c r="A27" s="36" t="str">
        <f aca="false">IF($D$4="","",IF(COUNTA($B27:$W27)+COUNTA($Y27:$AA27)=0,"",$D$4&amp;"-"&amp;TEXT(ROW()-7,"000")))</f>
        <v/>
      </c>
      <c r="B27" s="37"/>
      <c r="C27" s="37"/>
      <c r="D27" s="37"/>
      <c r="E27" s="37"/>
      <c r="F27" s="37"/>
      <c r="G27" s="38"/>
      <c r="H27" s="38"/>
      <c r="I27" s="37"/>
      <c r="J27" s="38"/>
      <c r="K27" s="37"/>
      <c r="L27" s="37"/>
      <c r="M27" s="37"/>
      <c r="N27" s="37"/>
      <c r="O27" s="37"/>
      <c r="P27" s="37"/>
      <c r="Q27" s="37"/>
      <c r="R27" s="37"/>
      <c r="S27" s="37"/>
      <c r="T27" s="37"/>
      <c r="U27" s="37"/>
      <c r="V27" s="37"/>
      <c r="W27" s="37"/>
      <c r="X27" s="36" t="str">
        <f aca="false">IF($A27="","",TRIM($B$4&amp;" "&amp;$D$4))</f>
        <v/>
      </c>
      <c r="Y27" s="37"/>
      <c r="Z27" s="38"/>
      <c r="AA27" s="37"/>
      <c r="AB27" s="39" t="str">
        <f aca="false">IFERROR(IF(COUNTA($B27:$W27)+COUNTA($Y27:$AA27)=0,"",IF(A27="","① 条目ID未生成(先在顶栏填学号与编号)",IF(COUNTIF($A$8:$A$207,A27)&gt;1,"① 条目ID重复",IF(B27="","② 缺文件名称",IF(D27="","④ 缺位阶",IF(E27="","⑤ 缺制定区域",IF(NOT(ISNUMBER(H27)),"⑧ 施行日期须为日期格式 YYYY-MM-DD",IF(AND(I27&lt;&gt;"现行有效",I27&lt;&gt;"",J27=""),"⑩ 非现行有效须填失效/修订日期",IF(AND(ISNUMBER(J27),ISNUMBER(H27),J27&lt;=H27),"⑩ 失效日期须晚于施行日期",IF(K27="","⑪ 缺主题标签(主)",IF(AND(L27&lt;&gt;"",L27=K27),"⑫ 次标签不得与主标签相同",IF(AND(ISERROR(SEARCH("条",M27)),ISERROR(SEARCH("段",M27)),ISERROR(SEARCH("项",M27))),"⑬ 条文定位须到条/款/项或段",IF(OR(N27="",O27="",P27="",Q27=""),"⑭-⑰ 五要素未填全",IF(LEN(Q27)&gt;120,"⑰ 行为模式内容超120字,请再概括",IF(S27="","⑲ 缺原文摘录",IF(LEN(S27)&gt;200,"⑲ 原文摘录超200字,说明条文选得太大",IF(AND(E27="国家",U27=""),"㉑ 国家层须填央地权限配置",IF(AND(E27="国家",V27&lt;&gt;""),"㉒ 国家层不填地方自主权类型",IF(AND(E27&lt;&gt;"国家",V27=""),"㉒ 地方层须填地方自主权类型",IF(AND(E27&lt;&gt;"国家",U27&lt;&gt;""),"㉑ 地方层不填央地权限配置",IF(W27="","㉓ 缺核实来源",IF(X27="","㉔ 缺录入人",IF(Y27="","㉕ 缺版本号","✔ 通过基础校验"))))))))))))))))))))))),"⚠ 自检公式受损(勿用剪切移动单元格),请告知老师修复")</f>
        <v/>
      </c>
    </row>
    <row r="28" customFormat="false" ht="30" hidden="false" customHeight="true" outlineLevel="0" collapsed="false">
      <c r="A28" s="36" t="str">
        <f aca="false">IF($D$4="","",IF(COUNTA($B28:$W28)+COUNTA($Y28:$AA28)=0,"",$D$4&amp;"-"&amp;TEXT(ROW()-7,"000")))</f>
        <v/>
      </c>
      <c r="B28" s="37"/>
      <c r="C28" s="37"/>
      <c r="D28" s="37"/>
      <c r="E28" s="37"/>
      <c r="F28" s="37"/>
      <c r="G28" s="38"/>
      <c r="H28" s="38"/>
      <c r="I28" s="37"/>
      <c r="J28" s="38"/>
      <c r="K28" s="37"/>
      <c r="L28" s="37"/>
      <c r="M28" s="37"/>
      <c r="N28" s="37"/>
      <c r="O28" s="37"/>
      <c r="P28" s="37"/>
      <c r="Q28" s="37"/>
      <c r="R28" s="37"/>
      <c r="S28" s="37"/>
      <c r="T28" s="37"/>
      <c r="U28" s="37"/>
      <c r="V28" s="37"/>
      <c r="W28" s="37"/>
      <c r="X28" s="36" t="str">
        <f aca="false">IF($A28="","",TRIM($B$4&amp;" "&amp;$D$4))</f>
        <v/>
      </c>
      <c r="Y28" s="37"/>
      <c r="Z28" s="38"/>
      <c r="AA28" s="37"/>
      <c r="AB28" s="39" t="str">
        <f aca="false">IFERROR(IF(COUNTA($B28:$W28)+COUNTA($Y28:$AA28)=0,"",IF(A28="","① 条目ID未生成(先在顶栏填学号与编号)",IF(COUNTIF($A$8:$A$207,A28)&gt;1,"① 条目ID重复",IF(B28="","② 缺文件名称",IF(D28="","④ 缺位阶",IF(E28="","⑤ 缺制定区域",IF(NOT(ISNUMBER(H28)),"⑧ 施行日期须为日期格式 YYYY-MM-DD",IF(AND(I28&lt;&gt;"现行有效",I28&lt;&gt;"",J28=""),"⑩ 非现行有效须填失效/修订日期",IF(AND(ISNUMBER(J28),ISNUMBER(H28),J28&lt;=H28),"⑩ 失效日期须晚于施行日期",IF(K28="","⑪ 缺主题标签(主)",IF(AND(L28&lt;&gt;"",L28=K28),"⑫ 次标签不得与主标签相同",IF(AND(ISERROR(SEARCH("条",M28)),ISERROR(SEARCH("段",M28)),ISERROR(SEARCH("项",M28))),"⑬ 条文定位须到条/款/项或段",IF(OR(N28="",O28="",P28="",Q28=""),"⑭-⑰ 五要素未填全",IF(LEN(Q28)&gt;120,"⑰ 行为模式内容超120字,请再概括",IF(S28="","⑲ 缺原文摘录",IF(LEN(S28)&gt;200,"⑲ 原文摘录超200字,说明条文选得太大",IF(AND(E28="国家",U28=""),"㉑ 国家层须填央地权限配置",IF(AND(E28="国家",V28&lt;&gt;""),"㉒ 国家层不填地方自主权类型",IF(AND(E28&lt;&gt;"国家",V28=""),"㉒ 地方层须填地方自主权类型",IF(AND(E28&lt;&gt;"国家",U28&lt;&gt;""),"㉑ 地方层不填央地权限配置",IF(W28="","㉓ 缺核实来源",IF(X28="","㉔ 缺录入人",IF(Y28="","㉕ 缺版本号","✔ 通过基础校验"))))))))))))))))))))))),"⚠ 自检公式受损(勿用剪切移动单元格),请告知老师修复")</f>
        <v/>
      </c>
    </row>
    <row r="29" customFormat="false" ht="30" hidden="false" customHeight="true" outlineLevel="0" collapsed="false">
      <c r="A29" s="36" t="str">
        <f aca="false">IF($D$4="","",IF(COUNTA($B29:$W29)+COUNTA($Y29:$AA29)=0,"",$D$4&amp;"-"&amp;TEXT(ROW()-7,"000")))</f>
        <v/>
      </c>
      <c r="B29" s="37"/>
      <c r="C29" s="37"/>
      <c r="D29" s="37"/>
      <c r="E29" s="37"/>
      <c r="F29" s="37"/>
      <c r="G29" s="38"/>
      <c r="H29" s="38"/>
      <c r="I29" s="37"/>
      <c r="J29" s="38"/>
      <c r="K29" s="37"/>
      <c r="L29" s="37"/>
      <c r="M29" s="37"/>
      <c r="N29" s="37"/>
      <c r="O29" s="37"/>
      <c r="P29" s="37"/>
      <c r="Q29" s="37"/>
      <c r="R29" s="37"/>
      <c r="S29" s="37"/>
      <c r="T29" s="37"/>
      <c r="U29" s="37"/>
      <c r="V29" s="37"/>
      <c r="W29" s="37"/>
      <c r="X29" s="36" t="str">
        <f aca="false">IF($A29="","",TRIM($B$4&amp;" "&amp;$D$4))</f>
        <v/>
      </c>
      <c r="Y29" s="37"/>
      <c r="Z29" s="38"/>
      <c r="AA29" s="37"/>
      <c r="AB29" s="39" t="str">
        <f aca="false">IFERROR(IF(COUNTA($B29:$W29)+COUNTA($Y29:$AA29)=0,"",IF(A29="","① 条目ID未生成(先在顶栏填学号与编号)",IF(COUNTIF($A$8:$A$207,A29)&gt;1,"① 条目ID重复",IF(B29="","② 缺文件名称",IF(D29="","④ 缺位阶",IF(E29="","⑤ 缺制定区域",IF(NOT(ISNUMBER(H29)),"⑧ 施行日期须为日期格式 YYYY-MM-DD",IF(AND(I29&lt;&gt;"现行有效",I29&lt;&gt;"",J29=""),"⑩ 非现行有效须填失效/修订日期",IF(AND(ISNUMBER(J29),ISNUMBER(H29),J29&lt;=H29),"⑩ 失效日期须晚于施行日期",IF(K29="","⑪ 缺主题标签(主)",IF(AND(L29&lt;&gt;"",L29=K29),"⑫ 次标签不得与主标签相同",IF(AND(ISERROR(SEARCH("条",M29)),ISERROR(SEARCH("段",M29)),ISERROR(SEARCH("项",M29))),"⑬ 条文定位须到条/款/项或段",IF(OR(N29="",O29="",P29="",Q29=""),"⑭-⑰ 五要素未填全",IF(LEN(Q29)&gt;120,"⑰ 行为模式内容超120字,请再概括",IF(S29="","⑲ 缺原文摘录",IF(LEN(S29)&gt;200,"⑲ 原文摘录超200字,说明条文选得太大",IF(AND(E29="国家",U29=""),"㉑ 国家层须填央地权限配置",IF(AND(E29="国家",V29&lt;&gt;""),"㉒ 国家层不填地方自主权类型",IF(AND(E29&lt;&gt;"国家",V29=""),"㉒ 地方层须填地方自主权类型",IF(AND(E29&lt;&gt;"国家",U29&lt;&gt;""),"㉑ 地方层不填央地权限配置",IF(W29="","㉓ 缺核实来源",IF(X29="","㉔ 缺录入人",IF(Y29="","㉕ 缺版本号","✔ 通过基础校验"))))))))))))))))))))))),"⚠ 自检公式受损(勿用剪切移动单元格),请告知老师修复")</f>
        <v/>
      </c>
    </row>
    <row r="30" customFormat="false" ht="30" hidden="false" customHeight="true" outlineLevel="0" collapsed="false">
      <c r="A30" s="36" t="str">
        <f aca="false">IF($D$4="","",IF(COUNTA($B30:$W30)+COUNTA($Y30:$AA30)=0,"",$D$4&amp;"-"&amp;TEXT(ROW()-7,"000")))</f>
        <v/>
      </c>
      <c r="B30" s="37"/>
      <c r="C30" s="37"/>
      <c r="D30" s="37"/>
      <c r="E30" s="37"/>
      <c r="F30" s="37"/>
      <c r="G30" s="38"/>
      <c r="H30" s="38"/>
      <c r="I30" s="37"/>
      <c r="J30" s="38"/>
      <c r="K30" s="37"/>
      <c r="L30" s="37"/>
      <c r="M30" s="37"/>
      <c r="N30" s="37"/>
      <c r="O30" s="37"/>
      <c r="P30" s="37"/>
      <c r="Q30" s="37"/>
      <c r="R30" s="37"/>
      <c r="S30" s="37"/>
      <c r="T30" s="37"/>
      <c r="U30" s="37"/>
      <c r="V30" s="37"/>
      <c r="W30" s="37"/>
      <c r="X30" s="36" t="str">
        <f aca="false">IF($A30="","",TRIM($B$4&amp;" "&amp;$D$4))</f>
        <v/>
      </c>
      <c r="Y30" s="37"/>
      <c r="Z30" s="38"/>
      <c r="AA30" s="37"/>
      <c r="AB30" s="39" t="str">
        <f aca="false">IFERROR(IF(COUNTA($B30:$W30)+COUNTA($Y30:$AA30)=0,"",IF(A30="","① 条目ID未生成(先在顶栏填学号与编号)",IF(COUNTIF($A$8:$A$207,A30)&gt;1,"① 条目ID重复",IF(B30="","② 缺文件名称",IF(D30="","④ 缺位阶",IF(E30="","⑤ 缺制定区域",IF(NOT(ISNUMBER(H30)),"⑧ 施行日期须为日期格式 YYYY-MM-DD",IF(AND(I30&lt;&gt;"现行有效",I30&lt;&gt;"",J30=""),"⑩ 非现行有效须填失效/修订日期",IF(AND(ISNUMBER(J30),ISNUMBER(H30),J30&lt;=H30),"⑩ 失效日期须晚于施行日期",IF(K30="","⑪ 缺主题标签(主)",IF(AND(L30&lt;&gt;"",L30=K30),"⑫ 次标签不得与主标签相同",IF(AND(ISERROR(SEARCH("条",M30)),ISERROR(SEARCH("段",M30)),ISERROR(SEARCH("项",M30))),"⑬ 条文定位须到条/款/项或段",IF(OR(N30="",O30="",P30="",Q30=""),"⑭-⑰ 五要素未填全",IF(LEN(Q30)&gt;120,"⑰ 行为模式内容超120字,请再概括",IF(S30="","⑲ 缺原文摘录",IF(LEN(S30)&gt;200,"⑲ 原文摘录超200字,说明条文选得太大",IF(AND(E30="国家",U30=""),"㉑ 国家层须填央地权限配置",IF(AND(E30="国家",V30&lt;&gt;""),"㉒ 国家层不填地方自主权类型",IF(AND(E30&lt;&gt;"国家",V30=""),"㉒ 地方层须填地方自主权类型",IF(AND(E30&lt;&gt;"国家",U30&lt;&gt;""),"㉑ 地方层不填央地权限配置",IF(W30="","㉓ 缺核实来源",IF(X30="","㉔ 缺录入人",IF(Y30="","㉕ 缺版本号","✔ 通过基础校验"))))))))))))))))))))))),"⚠ 自检公式受损(勿用剪切移动单元格),请告知老师修复")</f>
        <v/>
      </c>
    </row>
    <row r="31" customFormat="false" ht="30" hidden="false" customHeight="true" outlineLevel="0" collapsed="false">
      <c r="A31" s="36" t="str">
        <f aca="false">IF($D$4="","",IF(COUNTA($B31:$W31)+COUNTA($Y31:$AA31)=0,"",$D$4&amp;"-"&amp;TEXT(ROW()-7,"000")))</f>
        <v/>
      </c>
      <c r="B31" s="37"/>
      <c r="C31" s="37"/>
      <c r="D31" s="37"/>
      <c r="E31" s="37"/>
      <c r="F31" s="37"/>
      <c r="G31" s="38"/>
      <c r="H31" s="38"/>
      <c r="I31" s="37"/>
      <c r="J31" s="38"/>
      <c r="K31" s="37"/>
      <c r="L31" s="37"/>
      <c r="M31" s="37"/>
      <c r="N31" s="37"/>
      <c r="O31" s="37"/>
      <c r="P31" s="37"/>
      <c r="Q31" s="37"/>
      <c r="R31" s="37"/>
      <c r="S31" s="37"/>
      <c r="T31" s="37"/>
      <c r="U31" s="37"/>
      <c r="V31" s="37"/>
      <c r="W31" s="37"/>
      <c r="X31" s="36" t="str">
        <f aca="false">IF($A31="","",TRIM($B$4&amp;" "&amp;$D$4))</f>
        <v/>
      </c>
      <c r="Y31" s="37"/>
      <c r="Z31" s="38"/>
      <c r="AA31" s="37"/>
      <c r="AB31" s="39" t="str">
        <f aca="false">IFERROR(IF(COUNTA($B31:$W31)+COUNTA($Y31:$AA31)=0,"",IF(A31="","① 条目ID未生成(先在顶栏填学号与编号)",IF(COUNTIF($A$8:$A$207,A31)&gt;1,"① 条目ID重复",IF(B31="","② 缺文件名称",IF(D31="","④ 缺位阶",IF(E31="","⑤ 缺制定区域",IF(NOT(ISNUMBER(H31)),"⑧ 施行日期须为日期格式 YYYY-MM-DD",IF(AND(I31&lt;&gt;"现行有效",I31&lt;&gt;"",J31=""),"⑩ 非现行有效须填失效/修订日期",IF(AND(ISNUMBER(J31),ISNUMBER(H31),J31&lt;=H31),"⑩ 失效日期须晚于施行日期",IF(K31="","⑪ 缺主题标签(主)",IF(AND(L31&lt;&gt;"",L31=K31),"⑫ 次标签不得与主标签相同",IF(AND(ISERROR(SEARCH("条",M31)),ISERROR(SEARCH("段",M31)),ISERROR(SEARCH("项",M31))),"⑬ 条文定位须到条/款/项或段",IF(OR(N31="",O31="",P31="",Q31=""),"⑭-⑰ 五要素未填全",IF(LEN(Q31)&gt;120,"⑰ 行为模式内容超120字,请再概括",IF(S31="","⑲ 缺原文摘录",IF(LEN(S31)&gt;200,"⑲ 原文摘录超200字,说明条文选得太大",IF(AND(E31="国家",U31=""),"㉑ 国家层须填央地权限配置",IF(AND(E31="国家",V31&lt;&gt;""),"㉒ 国家层不填地方自主权类型",IF(AND(E31&lt;&gt;"国家",V31=""),"㉒ 地方层须填地方自主权类型",IF(AND(E31&lt;&gt;"国家",U31&lt;&gt;""),"㉑ 地方层不填央地权限配置",IF(W31="","㉓ 缺核实来源",IF(X31="","㉔ 缺录入人",IF(Y31="","㉕ 缺版本号","✔ 通过基础校验"))))))))))))))))))))))),"⚠ 自检公式受损(勿用剪切移动单元格),请告知老师修复")</f>
        <v/>
      </c>
    </row>
    <row r="32" customFormat="false" ht="30" hidden="false" customHeight="true" outlineLevel="0" collapsed="false">
      <c r="A32" s="36" t="str">
        <f aca="false">IF($D$4="","",IF(COUNTA($B32:$W32)+COUNTA($Y32:$AA32)=0,"",$D$4&amp;"-"&amp;TEXT(ROW()-7,"000")))</f>
        <v/>
      </c>
      <c r="B32" s="37"/>
      <c r="C32" s="37"/>
      <c r="D32" s="37"/>
      <c r="E32" s="37"/>
      <c r="F32" s="37"/>
      <c r="G32" s="38"/>
      <c r="H32" s="38"/>
      <c r="I32" s="37"/>
      <c r="J32" s="38"/>
      <c r="K32" s="37"/>
      <c r="L32" s="37"/>
      <c r="M32" s="37"/>
      <c r="N32" s="37"/>
      <c r="O32" s="37"/>
      <c r="P32" s="37"/>
      <c r="Q32" s="37"/>
      <c r="R32" s="37"/>
      <c r="S32" s="37"/>
      <c r="T32" s="37"/>
      <c r="U32" s="37"/>
      <c r="V32" s="37"/>
      <c r="W32" s="37"/>
      <c r="X32" s="36" t="str">
        <f aca="false">IF($A32="","",TRIM($B$4&amp;" "&amp;$D$4))</f>
        <v/>
      </c>
      <c r="Y32" s="37"/>
      <c r="Z32" s="38"/>
      <c r="AA32" s="37"/>
      <c r="AB32" s="39" t="str">
        <f aca="false">IFERROR(IF(COUNTA($B32:$W32)+COUNTA($Y32:$AA32)=0,"",IF(A32="","① 条目ID未生成(先在顶栏填学号与编号)",IF(COUNTIF($A$8:$A$207,A32)&gt;1,"① 条目ID重复",IF(B32="","② 缺文件名称",IF(D32="","④ 缺位阶",IF(E32="","⑤ 缺制定区域",IF(NOT(ISNUMBER(H32)),"⑧ 施行日期须为日期格式 YYYY-MM-DD",IF(AND(I32&lt;&gt;"现行有效",I32&lt;&gt;"",J32=""),"⑩ 非现行有效须填失效/修订日期",IF(AND(ISNUMBER(J32),ISNUMBER(H32),J32&lt;=H32),"⑩ 失效日期须晚于施行日期",IF(K32="","⑪ 缺主题标签(主)",IF(AND(L32&lt;&gt;"",L32=K32),"⑫ 次标签不得与主标签相同",IF(AND(ISERROR(SEARCH("条",M32)),ISERROR(SEARCH("段",M32)),ISERROR(SEARCH("项",M32))),"⑬ 条文定位须到条/款/项或段",IF(OR(N32="",O32="",P32="",Q32=""),"⑭-⑰ 五要素未填全",IF(LEN(Q32)&gt;120,"⑰ 行为模式内容超120字,请再概括",IF(S32="","⑲ 缺原文摘录",IF(LEN(S32)&gt;200,"⑲ 原文摘录超200字,说明条文选得太大",IF(AND(E32="国家",U32=""),"㉑ 国家层须填央地权限配置",IF(AND(E32="国家",V32&lt;&gt;""),"㉒ 国家层不填地方自主权类型",IF(AND(E32&lt;&gt;"国家",V32=""),"㉒ 地方层须填地方自主权类型",IF(AND(E32&lt;&gt;"国家",U32&lt;&gt;""),"㉑ 地方层不填央地权限配置",IF(W32="","㉓ 缺核实来源",IF(X32="","㉔ 缺录入人",IF(Y32="","㉕ 缺版本号","✔ 通过基础校验"))))))))))))))))))))))),"⚠ 自检公式受损(勿用剪切移动单元格),请告知老师修复")</f>
        <v/>
      </c>
    </row>
    <row r="33" customFormat="false" ht="30" hidden="false" customHeight="true" outlineLevel="0" collapsed="false">
      <c r="A33" s="36" t="str">
        <f aca="false">IF($D$4="","",IF(COUNTA($B33:$W33)+COUNTA($Y33:$AA33)=0,"",$D$4&amp;"-"&amp;TEXT(ROW()-7,"000")))</f>
        <v/>
      </c>
      <c r="B33" s="37"/>
      <c r="C33" s="37"/>
      <c r="D33" s="37"/>
      <c r="E33" s="37"/>
      <c r="F33" s="37"/>
      <c r="G33" s="38"/>
      <c r="H33" s="38"/>
      <c r="I33" s="37"/>
      <c r="J33" s="38"/>
      <c r="K33" s="37"/>
      <c r="L33" s="37"/>
      <c r="M33" s="37"/>
      <c r="N33" s="37"/>
      <c r="O33" s="37"/>
      <c r="P33" s="37"/>
      <c r="Q33" s="37"/>
      <c r="R33" s="37"/>
      <c r="S33" s="37"/>
      <c r="T33" s="37"/>
      <c r="U33" s="37"/>
      <c r="V33" s="37"/>
      <c r="W33" s="37"/>
      <c r="X33" s="36" t="str">
        <f aca="false">IF($A33="","",TRIM($B$4&amp;" "&amp;$D$4))</f>
        <v/>
      </c>
      <c r="Y33" s="37"/>
      <c r="Z33" s="38"/>
      <c r="AA33" s="37"/>
      <c r="AB33" s="39" t="str">
        <f aca="false">IFERROR(IF(COUNTA($B33:$W33)+COUNTA($Y33:$AA33)=0,"",IF(A33="","① 条目ID未生成(先在顶栏填学号与编号)",IF(COUNTIF($A$8:$A$207,A33)&gt;1,"① 条目ID重复",IF(B33="","② 缺文件名称",IF(D33="","④ 缺位阶",IF(E33="","⑤ 缺制定区域",IF(NOT(ISNUMBER(H33)),"⑧ 施行日期须为日期格式 YYYY-MM-DD",IF(AND(I33&lt;&gt;"现行有效",I33&lt;&gt;"",J33=""),"⑩ 非现行有效须填失效/修订日期",IF(AND(ISNUMBER(J33),ISNUMBER(H33),J33&lt;=H33),"⑩ 失效日期须晚于施行日期",IF(K33="","⑪ 缺主题标签(主)",IF(AND(L33&lt;&gt;"",L33=K33),"⑫ 次标签不得与主标签相同",IF(AND(ISERROR(SEARCH("条",M33)),ISERROR(SEARCH("段",M33)),ISERROR(SEARCH("项",M33))),"⑬ 条文定位须到条/款/项或段",IF(OR(N33="",O33="",P33="",Q33=""),"⑭-⑰ 五要素未填全",IF(LEN(Q33)&gt;120,"⑰ 行为模式内容超120字,请再概括",IF(S33="","⑲ 缺原文摘录",IF(LEN(S33)&gt;200,"⑲ 原文摘录超200字,说明条文选得太大",IF(AND(E33="国家",U33=""),"㉑ 国家层须填央地权限配置",IF(AND(E33="国家",V33&lt;&gt;""),"㉒ 国家层不填地方自主权类型",IF(AND(E33&lt;&gt;"国家",V33=""),"㉒ 地方层须填地方自主权类型",IF(AND(E33&lt;&gt;"国家",U33&lt;&gt;""),"㉑ 地方层不填央地权限配置",IF(W33="","㉓ 缺核实来源",IF(X33="","㉔ 缺录入人",IF(Y33="","㉕ 缺版本号","✔ 通过基础校验"))))))))))))))))))))))),"⚠ 自检公式受损(勿用剪切移动单元格),请告知老师修复")</f>
        <v/>
      </c>
    </row>
    <row r="34" customFormat="false" ht="30" hidden="false" customHeight="true" outlineLevel="0" collapsed="false">
      <c r="A34" s="36" t="str">
        <f aca="false">IF($D$4="","",IF(COUNTA($B34:$W34)+COUNTA($Y34:$AA34)=0,"",$D$4&amp;"-"&amp;TEXT(ROW()-7,"000")))</f>
        <v/>
      </c>
      <c r="B34" s="37"/>
      <c r="C34" s="37"/>
      <c r="D34" s="37"/>
      <c r="E34" s="37"/>
      <c r="F34" s="37"/>
      <c r="G34" s="38"/>
      <c r="H34" s="38"/>
      <c r="I34" s="37"/>
      <c r="J34" s="38"/>
      <c r="K34" s="37"/>
      <c r="L34" s="37"/>
      <c r="M34" s="37"/>
      <c r="N34" s="37"/>
      <c r="O34" s="37"/>
      <c r="P34" s="37"/>
      <c r="Q34" s="37"/>
      <c r="R34" s="37"/>
      <c r="S34" s="37"/>
      <c r="T34" s="37"/>
      <c r="U34" s="37"/>
      <c r="V34" s="37"/>
      <c r="W34" s="37"/>
      <c r="X34" s="36" t="str">
        <f aca="false">IF($A34="","",TRIM($B$4&amp;" "&amp;$D$4))</f>
        <v/>
      </c>
      <c r="Y34" s="37"/>
      <c r="Z34" s="38"/>
      <c r="AA34" s="37"/>
      <c r="AB34" s="39" t="str">
        <f aca="false">IFERROR(IF(COUNTA($B34:$W34)+COUNTA($Y34:$AA34)=0,"",IF(A34="","① 条目ID未生成(先在顶栏填学号与编号)",IF(COUNTIF($A$8:$A$207,A34)&gt;1,"① 条目ID重复",IF(B34="","② 缺文件名称",IF(D34="","④ 缺位阶",IF(E34="","⑤ 缺制定区域",IF(NOT(ISNUMBER(H34)),"⑧ 施行日期须为日期格式 YYYY-MM-DD",IF(AND(I34&lt;&gt;"现行有效",I34&lt;&gt;"",J34=""),"⑩ 非现行有效须填失效/修订日期",IF(AND(ISNUMBER(J34),ISNUMBER(H34),J34&lt;=H34),"⑩ 失效日期须晚于施行日期",IF(K34="","⑪ 缺主题标签(主)",IF(AND(L34&lt;&gt;"",L34=K34),"⑫ 次标签不得与主标签相同",IF(AND(ISERROR(SEARCH("条",M34)),ISERROR(SEARCH("段",M34)),ISERROR(SEARCH("项",M34))),"⑬ 条文定位须到条/款/项或段",IF(OR(N34="",O34="",P34="",Q34=""),"⑭-⑰ 五要素未填全",IF(LEN(Q34)&gt;120,"⑰ 行为模式内容超120字,请再概括",IF(S34="","⑲ 缺原文摘录",IF(LEN(S34)&gt;200,"⑲ 原文摘录超200字,说明条文选得太大",IF(AND(E34="国家",U34=""),"㉑ 国家层须填央地权限配置",IF(AND(E34="国家",V34&lt;&gt;""),"㉒ 国家层不填地方自主权类型",IF(AND(E34&lt;&gt;"国家",V34=""),"㉒ 地方层须填地方自主权类型",IF(AND(E34&lt;&gt;"国家",U34&lt;&gt;""),"㉑ 地方层不填央地权限配置",IF(W34="","㉓ 缺核实来源",IF(X34="","㉔ 缺录入人",IF(Y34="","㉕ 缺版本号","✔ 通过基础校验"))))))))))))))))))))))),"⚠ 自检公式受损(勿用剪切移动单元格),请告知老师修复")</f>
        <v/>
      </c>
    </row>
    <row r="35" customFormat="false" ht="30" hidden="false" customHeight="true" outlineLevel="0" collapsed="false">
      <c r="A35" s="36" t="str">
        <f aca="false">IF($D$4="","",IF(COUNTA($B35:$W35)+COUNTA($Y35:$AA35)=0,"",$D$4&amp;"-"&amp;TEXT(ROW()-7,"000")))</f>
        <v/>
      </c>
      <c r="B35" s="37"/>
      <c r="C35" s="37"/>
      <c r="D35" s="37"/>
      <c r="E35" s="37"/>
      <c r="F35" s="37"/>
      <c r="G35" s="38"/>
      <c r="H35" s="38"/>
      <c r="I35" s="37"/>
      <c r="J35" s="38"/>
      <c r="K35" s="37"/>
      <c r="L35" s="37"/>
      <c r="M35" s="37"/>
      <c r="N35" s="37"/>
      <c r="O35" s="37"/>
      <c r="P35" s="37"/>
      <c r="Q35" s="37"/>
      <c r="R35" s="37"/>
      <c r="S35" s="37"/>
      <c r="T35" s="37"/>
      <c r="U35" s="37"/>
      <c r="V35" s="37"/>
      <c r="W35" s="37"/>
      <c r="X35" s="36" t="str">
        <f aca="false">IF($A35="","",TRIM($B$4&amp;" "&amp;$D$4))</f>
        <v/>
      </c>
      <c r="Y35" s="37"/>
      <c r="Z35" s="38"/>
      <c r="AA35" s="37"/>
      <c r="AB35" s="39" t="str">
        <f aca="false">IFERROR(IF(COUNTA($B35:$W35)+COUNTA($Y35:$AA35)=0,"",IF(A35="","① 条目ID未生成(先在顶栏填学号与编号)",IF(COUNTIF($A$8:$A$207,A35)&gt;1,"① 条目ID重复",IF(B35="","② 缺文件名称",IF(D35="","④ 缺位阶",IF(E35="","⑤ 缺制定区域",IF(NOT(ISNUMBER(H35)),"⑧ 施行日期须为日期格式 YYYY-MM-DD",IF(AND(I35&lt;&gt;"现行有效",I35&lt;&gt;"",J35=""),"⑩ 非现行有效须填失效/修订日期",IF(AND(ISNUMBER(J35),ISNUMBER(H35),J35&lt;=H35),"⑩ 失效日期须晚于施行日期",IF(K35="","⑪ 缺主题标签(主)",IF(AND(L35&lt;&gt;"",L35=K35),"⑫ 次标签不得与主标签相同",IF(AND(ISERROR(SEARCH("条",M35)),ISERROR(SEARCH("段",M35)),ISERROR(SEARCH("项",M35))),"⑬ 条文定位须到条/款/项或段",IF(OR(N35="",O35="",P35="",Q35=""),"⑭-⑰ 五要素未填全",IF(LEN(Q35)&gt;120,"⑰ 行为模式内容超120字,请再概括",IF(S35="","⑲ 缺原文摘录",IF(LEN(S35)&gt;200,"⑲ 原文摘录超200字,说明条文选得太大",IF(AND(E35="国家",U35=""),"㉑ 国家层须填央地权限配置",IF(AND(E35="国家",V35&lt;&gt;""),"㉒ 国家层不填地方自主权类型",IF(AND(E35&lt;&gt;"国家",V35=""),"㉒ 地方层须填地方自主权类型",IF(AND(E35&lt;&gt;"国家",U35&lt;&gt;""),"㉑ 地方层不填央地权限配置",IF(W35="","㉓ 缺核实来源",IF(X35="","㉔ 缺录入人",IF(Y35="","㉕ 缺版本号","✔ 通过基础校验"))))))))))))))))))))))),"⚠ 自检公式受损(勿用剪切移动单元格),请告知老师修复")</f>
        <v/>
      </c>
    </row>
    <row r="36" customFormat="false" ht="30" hidden="false" customHeight="true" outlineLevel="0" collapsed="false">
      <c r="A36" s="36" t="str">
        <f aca="false">IF($D$4="","",IF(COUNTA($B36:$W36)+COUNTA($Y36:$AA36)=0,"",$D$4&amp;"-"&amp;TEXT(ROW()-7,"000")))</f>
        <v/>
      </c>
      <c r="B36" s="37"/>
      <c r="C36" s="37"/>
      <c r="D36" s="37"/>
      <c r="E36" s="37"/>
      <c r="F36" s="37"/>
      <c r="G36" s="38"/>
      <c r="H36" s="38"/>
      <c r="I36" s="37"/>
      <c r="J36" s="38"/>
      <c r="K36" s="37"/>
      <c r="L36" s="37"/>
      <c r="M36" s="37"/>
      <c r="N36" s="37"/>
      <c r="O36" s="37"/>
      <c r="P36" s="37"/>
      <c r="Q36" s="37"/>
      <c r="R36" s="37"/>
      <c r="S36" s="37"/>
      <c r="T36" s="37"/>
      <c r="U36" s="37"/>
      <c r="V36" s="37"/>
      <c r="W36" s="37"/>
      <c r="X36" s="36" t="str">
        <f aca="false">IF($A36="","",TRIM($B$4&amp;" "&amp;$D$4))</f>
        <v/>
      </c>
      <c r="Y36" s="37"/>
      <c r="Z36" s="38"/>
      <c r="AA36" s="37"/>
      <c r="AB36" s="39" t="str">
        <f aca="false">IFERROR(IF(COUNTA($B36:$W36)+COUNTA($Y36:$AA36)=0,"",IF(A36="","① 条目ID未生成(先在顶栏填学号与编号)",IF(COUNTIF($A$8:$A$207,A36)&gt;1,"① 条目ID重复",IF(B36="","② 缺文件名称",IF(D36="","④ 缺位阶",IF(E36="","⑤ 缺制定区域",IF(NOT(ISNUMBER(H36)),"⑧ 施行日期须为日期格式 YYYY-MM-DD",IF(AND(I36&lt;&gt;"现行有效",I36&lt;&gt;"",J36=""),"⑩ 非现行有效须填失效/修订日期",IF(AND(ISNUMBER(J36),ISNUMBER(H36),J36&lt;=H36),"⑩ 失效日期须晚于施行日期",IF(K36="","⑪ 缺主题标签(主)",IF(AND(L36&lt;&gt;"",L36=K36),"⑫ 次标签不得与主标签相同",IF(AND(ISERROR(SEARCH("条",M36)),ISERROR(SEARCH("段",M36)),ISERROR(SEARCH("项",M36))),"⑬ 条文定位须到条/款/项或段",IF(OR(N36="",O36="",P36="",Q36=""),"⑭-⑰ 五要素未填全",IF(LEN(Q36)&gt;120,"⑰ 行为模式内容超120字,请再概括",IF(S36="","⑲ 缺原文摘录",IF(LEN(S36)&gt;200,"⑲ 原文摘录超200字,说明条文选得太大",IF(AND(E36="国家",U36=""),"㉑ 国家层须填央地权限配置",IF(AND(E36="国家",V36&lt;&gt;""),"㉒ 国家层不填地方自主权类型",IF(AND(E36&lt;&gt;"国家",V36=""),"㉒ 地方层须填地方自主权类型",IF(AND(E36&lt;&gt;"国家",U36&lt;&gt;""),"㉑ 地方层不填央地权限配置",IF(W36="","㉓ 缺核实来源",IF(X36="","㉔ 缺录入人",IF(Y36="","㉕ 缺版本号","✔ 通过基础校验"))))))))))))))))))))))),"⚠ 自检公式受损(勿用剪切移动单元格),请告知老师修复")</f>
        <v/>
      </c>
    </row>
    <row r="37" customFormat="false" ht="30" hidden="false" customHeight="true" outlineLevel="0" collapsed="false">
      <c r="A37" s="36" t="str">
        <f aca="false">IF($D$4="","",IF(COUNTA($B37:$W37)+COUNTA($Y37:$AA37)=0,"",$D$4&amp;"-"&amp;TEXT(ROW()-7,"000")))</f>
        <v/>
      </c>
      <c r="B37" s="37"/>
      <c r="C37" s="37"/>
      <c r="D37" s="37"/>
      <c r="E37" s="37"/>
      <c r="F37" s="37"/>
      <c r="G37" s="38"/>
      <c r="H37" s="38"/>
      <c r="I37" s="37"/>
      <c r="J37" s="38"/>
      <c r="K37" s="37"/>
      <c r="L37" s="37"/>
      <c r="M37" s="37"/>
      <c r="N37" s="37"/>
      <c r="O37" s="37"/>
      <c r="P37" s="37"/>
      <c r="Q37" s="37"/>
      <c r="R37" s="37"/>
      <c r="S37" s="37"/>
      <c r="T37" s="37"/>
      <c r="U37" s="37"/>
      <c r="V37" s="37"/>
      <c r="W37" s="37"/>
      <c r="X37" s="36" t="str">
        <f aca="false">IF($A37="","",TRIM($B$4&amp;" "&amp;$D$4))</f>
        <v/>
      </c>
      <c r="Y37" s="37"/>
      <c r="Z37" s="38"/>
      <c r="AA37" s="37"/>
      <c r="AB37" s="39" t="str">
        <f aca="false">IFERROR(IF(COUNTA($B37:$W37)+COUNTA($Y37:$AA37)=0,"",IF(A37="","① 条目ID未生成(先在顶栏填学号与编号)",IF(COUNTIF($A$8:$A$207,A37)&gt;1,"① 条目ID重复",IF(B37="","② 缺文件名称",IF(D37="","④ 缺位阶",IF(E37="","⑤ 缺制定区域",IF(NOT(ISNUMBER(H37)),"⑧ 施行日期须为日期格式 YYYY-MM-DD",IF(AND(I37&lt;&gt;"现行有效",I37&lt;&gt;"",J37=""),"⑩ 非现行有效须填失效/修订日期",IF(AND(ISNUMBER(J37),ISNUMBER(H37),J37&lt;=H37),"⑩ 失效日期须晚于施行日期",IF(K37="","⑪ 缺主题标签(主)",IF(AND(L37&lt;&gt;"",L37=K37),"⑫ 次标签不得与主标签相同",IF(AND(ISERROR(SEARCH("条",M37)),ISERROR(SEARCH("段",M37)),ISERROR(SEARCH("项",M37))),"⑬ 条文定位须到条/款/项或段",IF(OR(N37="",O37="",P37="",Q37=""),"⑭-⑰ 五要素未填全",IF(LEN(Q37)&gt;120,"⑰ 行为模式内容超120字,请再概括",IF(S37="","⑲ 缺原文摘录",IF(LEN(S37)&gt;200,"⑲ 原文摘录超200字,说明条文选得太大",IF(AND(E37="国家",U37=""),"㉑ 国家层须填央地权限配置",IF(AND(E37="国家",V37&lt;&gt;""),"㉒ 国家层不填地方自主权类型",IF(AND(E37&lt;&gt;"国家",V37=""),"㉒ 地方层须填地方自主权类型",IF(AND(E37&lt;&gt;"国家",U37&lt;&gt;""),"㉑ 地方层不填央地权限配置",IF(W37="","㉓ 缺核实来源",IF(X37="","㉔ 缺录入人",IF(Y37="","㉕ 缺版本号","✔ 通过基础校验"))))))))))))))))))))))),"⚠ 自检公式受损(勿用剪切移动单元格),请告知老师修复")</f>
        <v/>
      </c>
    </row>
    <row r="38" customFormat="false" ht="30" hidden="false" customHeight="true" outlineLevel="0" collapsed="false">
      <c r="A38" s="36" t="str">
        <f aca="false">IF($D$4="","",IF(COUNTA($B38:$W38)+COUNTA($Y38:$AA38)=0,"",$D$4&amp;"-"&amp;TEXT(ROW()-7,"000")))</f>
        <v/>
      </c>
      <c r="B38" s="37"/>
      <c r="C38" s="37"/>
      <c r="D38" s="37"/>
      <c r="E38" s="37"/>
      <c r="F38" s="37"/>
      <c r="G38" s="38"/>
      <c r="H38" s="38"/>
      <c r="I38" s="37"/>
      <c r="J38" s="38"/>
      <c r="K38" s="37"/>
      <c r="L38" s="37"/>
      <c r="M38" s="37"/>
      <c r="N38" s="37"/>
      <c r="O38" s="37"/>
      <c r="P38" s="37"/>
      <c r="Q38" s="37"/>
      <c r="R38" s="37"/>
      <c r="S38" s="37"/>
      <c r="T38" s="37"/>
      <c r="U38" s="37"/>
      <c r="V38" s="37"/>
      <c r="W38" s="37"/>
      <c r="X38" s="36" t="str">
        <f aca="false">IF($A38="","",TRIM($B$4&amp;" "&amp;$D$4))</f>
        <v/>
      </c>
      <c r="Y38" s="37"/>
      <c r="Z38" s="38"/>
      <c r="AA38" s="37"/>
      <c r="AB38" s="39" t="str">
        <f aca="false">IFERROR(IF(COUNTA($B38:$W38)+COUNTA($Y38:$AA38)=0,"",IF(A38="","① 条目ID未生成(先在顶栏填学号与编号)",IF(COUNTIF($A$8:$A$207,A38)&gt;1,"① 条目ID重复",IF(B38="","② 缺文件名称",IF(D38="","④ 缺位阶",IF(E38="","⑤ 缺制定区域",IF(NOT(ISNUMBER(H38)),"⑧ 施行日期须为日期格式 YYYY-MM-DD",IF(AND(I38&lt;&gt;"现行有效",I38&lt;&gt;"",J38=""),"⑩ 非现行有效须填失效/修订日期",IF(AND(ISNUMBER(J38),ISNUMBER(H38),J38&lt;=H38),"⑩ 失效日期须晚于施行日期",IF(K38="","⑪ 缺主题标签(主)",IF(AND(L38&lt;&gt;"",L38=K38),"⑫ 次标签不得与主标签相同",IF(AND(ISERROR(SEARCH("条",M38)),ISERROR(SEARCH("段",M38)),ISERROR(SEARCH("项",M38))),"⑬ 条文定位须到条/款/项或段",IF(OR(N38="",O38="",P38="",Q38=""),"⑭-⑰ 五要素未填全",IF(LEN(Q38)&gt;120,"⑰ 行为模式内容超120字,请再概括",IF(S38="","⑲ 缺原文摘录",IF(LEN(S38)&gt;200,"⑲ 原文摘录超200字,说明条文选得太大",IF(AND(E38="国家",U38=""),"㉑ 国家层须填央地权限配置",IF(AND(E38="国家",V38&lt;&gt;""),"㉒ 国家层不填地方自主权类型",IF(AND(E38&lt;&gt;"国家",V38=""),"㉒ 地方层须填地方自主权类型",IF(AND(E38&lt;&gt;"国家",U38&lt;&gt;""),"㉑ 地方层不填央地权限配置",IF(W38="","㉓ 缺核实来源",IF(X38="","㉔ 缺录入人",IF(Y38="","㉕ 缺版本号","✔ 通过基础校验"))))))))))))))))))))))),"⚠ 自检公式受损(勿用剪切移动单元格),请告知老师修复")</f>
        <v/>
      </c>
    </row>
    <row r="39" customFormat="false" ht="30" hidden="false" customHeight="true" outlineLevel="0" collapsed="false">
      <c r="A39" s="36" t="str">
        <f aca="false">IF($D$4="","",IF(COUNTA($B39:$W39)+COUNTA($Y39:$AA39)=0,"",$D$4&amp;"-"&amp;TEXT(ROW()-7,"000")))</f>
        <v/>
      </c>
      <c r="B39" s="37"/>
      <c r="C39" s="37"/>
      <c r="D39" s="37"/>
      <c r="E39" s="37"/>
      <c r="F39" s="37"/>
      <c r="G39" s="38"/>
      <c r="H39" s="38"/>
      <c r="I39" s="37"/>
      <c r="J39" s="38"/>
      <c r="K39" s="37"/>
      <c r="L39" s="37"/>
      <c r="M39" s="37"/>
      <c r="N39" s="37"/>
      <c r="O39" s="37"/>
      <c r="P39" s="37"/>
      <c r="Q39" s="37"/>
      <c r="R39" s="37"/>
      <c r="S39" s="37"/>
      <c r="T39" s="37"/>
      <c r="U39" s="37"/>
      <c r="V39" s="37"/>
      <c r="W39" s="37"/>
      <c r="X39" s="36" t="str">
        <f aca="false">IF($A39="","",TRIM($B$4&amp;" "&amp;$D$4))</f>
        <v/>
      </c>
      <c r="Y39" s="37"/>
      <c r="Z39" s="38"/>
      <c r="AA39" s="37"/>
      <c r="AB39" s="39" t="str">
        <f aca="false">IFERROR(IF(COUNTA($B39:$W39)+COUNTA($Y39:$AA39)=0,"",IF(A39="","① 条目ID未生成(先在顶栏填学号与编号)",IF(COUNTIF($A$8:$A$207,A39)&gt;1,"① 条目ID重复",IF(B39="","② 缺文件名称",IF(D39="","④ 缺位阶",IF(E39="","⑤ 缺制定区域",IF(NOT(ISNUMBER(H39)),"⑧ 施行日期须为日期格式 YYYY-MM-DD",IF(AND(I39&lt;&gt;"现行有效",I39&lt;&gt;"",J39=""),"⑩ 非现行有效须填失效/修订日期",IF(AND(ISNUMBER(J39),ISNUMBER(H39),J39&lt;=H39),"⑩ 失效日期须晚于施行日期",IF(K39="","⑪ 缺主题标签(主)",IF(AND(L39&lt;&gt;"",L39=K39),"⑫ 次标签不得与主标签相同",IF(AND(ISERROR(SEARCH("条",M39)),ISERROR(SEARCH("段",M39)),ISERROR(SEARCH("项",M39))),"⑬ 条文定位须到条/款/项或段",IF(OR(N39="",O39="",P39="",Q39=""),"⑭-⑰ 五要素未填全",IF(LEN(Q39)&gt;120,"⑰ 行为模式内容超120字,请再概括",IF(S39="","⑲ 缺原文摘录",IF(LEN(S39)&gt;200,"⑲ 原文摘录超200字,说明条文选得太大",IF(AND(E39="国家",U39=""),"㉑ 国家层须填央地权限配置",IF(AND(E39="国家",V39&lt;&gt;""),"㉒ 国家层不填地方自主权类型",IF(AND(E39&lt;&gt;"国家",V39=""),"㉒ 地方层须填地方自主权类型",IF(AND(E39&lt;&gt;"国家",U39&lt;&gt;""),"㉑ 地方层不填央地权限配置",IF(W39="","㉓ 缺核实来源",IF(X39="","㉔ 缺录入人",IF(Y39="","㉕ 缺版本号","✔ 通过基础校验"))))))))))))))))))))))),"⚠ 自检公式受损(勿用剪切移动单元格),请告知老师修复")</f>
        <v/>
      </c>
    </row>
    <row r="40" customFormat="false" ht="30" hidden="false" customHeight="true" outlineLevel="0" collapsed="false">
      <c r="A40" s="36" t="str">
        <f aca="false">IF($D$4="","",IF(COUNTA($B40:$W40)+COUNTA($Y40:$AA40)=0,"",$D$4&amp;"-"&amp;TEXT(ROW()-7,"000")))</f>
        <v/>
      </c>
      <c r="B40" s="37"/>
      <c r="C40" s="37"/>
      <c r="D40" s="37"/>
      <c r="E40" s="37"/>
      <c r="F40" s="37"/>
      <c r="G40" s="38"/>
      <c r="H40" s="38"/>
      <c r="I40" s="37"/>
      <c r="J40" s="38"/>
      <c r="K40" s="37"/>
      <c r="L40" s="37"/>
      <c r="M40" s="37"/>
      <c r="N40" s="37"/>
      <c r="O40" s="37"/>
      <c r="P40" s="37"/>
      <c r="Q40" s="37"/>
      <c r="R40" s="37"/>
      <c r="S40" s="37"/>
      <c r="T40" s="37"/>
      <c r="U40" s="37"/>
      <c r="V40" s="37"/>
      <c r="W40" s="37"/>
      <c r="X40" s="36" t="str">
        <f aca="false">IF($A40="","",TRIM($B$4&amp;" "&amp;$D$4))</f>
        <v/>
      </c>
      <c r="Y40" s="37"/>
      <c r="Z40" s="38"/>
      <c r="AA40" s="37"/>
      <c r="AB40" s="39" t="str">
        <f aca="false">IFERROR(IF(COUNTA($B40:$W40)+COUNTA($Y40:$AA40)=0,"",IF(A40="","① 条目ID未生成(先在顶栏填学号与编号)",IF(COUNTIF($A$8:$A$207,A40)&gt;1,"① 条目ID重复",IF(B40="","② 缺文件名称",IF(D40="","④ 缺位阶",IF(E40="","⑤ 缺制定区域",IF(NOT(ISNUMBER(H40)),"⑧ 施行日期须为日期格式 YYYY-MM-DD",IF(AND(I40&lt;&gt;"现行有效",I40&lt;&gt;"",J40=""),"⑩ 非现行有效须填失效/修订日期",IF(AND(ISNUMBER(J40),ISNUMBER(H40),J40&lt;=H40),"⑩ 失效日期须晚于施行日期",IF(K40="","⑪ 缺主题标签(主)",IF(AND(L40&lt;&gt;"",L40=K40),"⑫ 次标签不得与主标签相同",IF(AND(ISERROR(SEARCH("条",M40)),ISERROR(SEARCH("段",M40)),ISERROR(SEARCH("项",M40))),"⑬ 条文定位须到条/款/项或段",IF(OR(N40="",O40="",P40="",Q40=""),"⑭-⑰ 五要素未填全",IF(LEN(Q40)&gt;120,"⑰ 行为模式内容超120字,请再概括",IF(S40="","⑲ 缺原文摘录",IF(LEN(S40)&gt;200,"⑲ 原文摘录超200字,说明条文选得太大",IF(AND(E40="国家",U40=""),"㉑ 国家层须填央地权限配置",IF(AND(E40="国家",V40&lt;&gt;""),"㉒ 国家层不填地方自主权类型",IF(AND(E40&lt;&gt;"国家",V40=""),"㉒ 地方层须填地方自主权类型",IF(AND(E40&lt;&gt;"国家",U40&lt;&gt;""),"㉑ 地方层不填央地权限配置",IF(W40="","㉓ 缺核实来源",IF(X40="","㉔ 缺录入人",IF(Y40="","㉕ 缺版本号","✔ 通过基础校验"))))))))))))))))))))))),"⚠ 自检公式受损(勿用剪切移动单元格),请告知老师修复")</f>
        <v/>
      </c>
    </row>
    <row r="41" customFormat="false" ht="30" hidden="false" customHeight="true" outlineLevel="0" collapsed="false">
      <c r="A41" s="36" t="str">
        <f aca="false">IF($D$4="","",IF(COUNTA($B41:$W41)+COUNTA($Y41:$AA41)=0,"",$D$4&amp;"-"&amp;TEXT(ROW()-7,"000")))</f>
        <v/>
      </c>
      <c r="B41" s="37"/>
      <c r="C41" s="37"/>
      <c r="D41" s="37"/>
      <c r="E41" s="37"/>
      <c r="F41" s="37"/>
      <c r="G41" s="38"/>
      <c r="H41" s="38"/>
      <c r="I41" s="37"/>
      <c r="J41" s="38"/>
      <c r="K41" s="37"/>
      <c r="L41" s="37"/>
      <c r="M41" s="37"/>
      <c r="N41" s="37"/>
      <c r="O41" s="37"/>
      <c r="P41" s="37"/>
      <c r="Q41" s="37"/>
      <c r="R41" s="37"/>
      <c r="S41" s="37"/>
      <c r="T41" s="37"/>
      <c r="U41" s="37"/>
      <c r="V41" s="37"/>
      <c r="W41" s="37"/>
      <c r="X41" s="36" t="str">
        <f aca="false">IF($A41="","",TRIM($B$4&amp;" "&amp;$D$4))</f>
        <v/>
      </c>
      <c r="Y41" s="37"/>
      <c r="Z41" s="38"/>
      <c r="AA41" s="37"/>
      <c r="AB41" s="39" t="str">
        <f aca="false">IFERROR(IF(COUNTA($B41:$W41)+COUNTA($Y41:$AA41)=0,"",IF(A41="","① 条目ID未生成(先在顶栏填学号与编号)",IF(COUNTIF($A$8:$A$207,A41)&gt;1,"① 条目ID重复",IF(B41="","② 缺文件名称",IF(D41="","④ 缺位阶",IF(E41="","⑤ 缺制定区域",IF(NOT(ISNUMBER(H41)),"⑧ 施行日期须为日期格式 YYYY-MM-DD",IF(AND(I41&lt;&gt;"现行有效",I41&lt;&gt;"",J41=""),"⑩ 非现行有效须填失效/修订日期",IF(AND(ISNUMBER(J41),ISNUMBER(H41),J41&lt;=H41),"⑩ 失效日期须晚于施行日期",IF(K41="","⑪ 缺主题标签(主)",IF(AND(L41&lt;&gt;"",L41=K41),"⑫ 次标签不得与主标签相同",IF(AND(ISERROR(SEARCH("条",M41)),ISERROR(SEARCH("段",M41)),ISERROR(SEARCH("项",M41))),"⑬ 条文定位须到条/款/项或段",IF(OR(N41="",O41="",P41="",Q41=""),"⑭-⑰ 五要素未填全",IF(LEN(Q41)&gt;120,"⑰ 行为模式内容超120字,请再概括",IF(S41="","⑲ 缺原文摘录",IF(LEN(S41)&gt;200,"⑲ 原文摘录超200字,说明条文选得太大",IF(AND(E41="国家",U41=""),"㉑ 国家层须填央地权限配置",IF(AND(E41="国家",V41&lt;&gt;""),"㉒ 国家层不填地方自主权类型",IF(AND(E41&lt;&gt;"国家",V41=""),"㉒ 地方层须填地方自主权类型",IF(AND(E41&lt;&gt;"国家",U41&lt;&gt;""),"㉑ 地方层不填央地权限配置",IF(W41="","㉓ 缺核实来源",IF(X41="","㉔ 缺录入人",IF(Y41="","㉕ 缺版本号","✔ 通过基础校验"))))))))))))))))))))))),"⚠ 自检公式受损(勿用剪切移动单元格),请告知老师修复")</f>
        <v/>
      </c>
    </row>
    <row r="42" customFormat="false" ht="30" hidden="false" customHeight="true" outlineLevel="0" collapsed="false">
      <c r="A42" s="36" t="str">
        <f aca="false">IF($D$4="","",IF(COUNTA($B42:$W42)+COUNTA($Y42:$AA42)=0,"",$D$4&amp;"-"&amp;TEXT(ROW()-7,"000")))</f>
        <v/>
      </c>
      <c r="B42" s="37"/>
      <c r="C42" s="37"/>
      <c r="D42" s="37"/>
      <c r="E42" s="37"/>
      <c r="F42" s="37"/>
      <c r="G42" s="38"/>
      <c r="H42" s="38"/>
      <c r="I42" s="37"/>
      <c r="J42" s="38"/>
      <c r="K42" s="37"/>
      <c r="L42" s="37"/>
      <c r="M42" s="37"/>
      <c r="N42" s="37"/>
      <c r="O42" s="37"/>
      <c r="P42" s="37"/>
      <c r="Q42" s="37"/>
      <c r="R42" s="37"/>
      <c r="S42" s="37"/>
      <c r="T42" s="37"/>
      <c r="U42" s="37"/>
      <c r="V42" s="37"/>
      <c r="W42" s="37"/>
      <c r="X42" s="36" t="str">
        <f aca="false">IF($A42="","",TRIM($B$4&amp;" "&amp;$D$4))</f>
        <v/>
      </c>
      <c r="Y42" s="37"/>
      <c r="Z42" s="38"/>
      <c r="AA42" s="37"/>
      <c r="AB42" s="39" t="str">
        <f aca="false">IFERROR(IF(COUNTA($B42:$W42)+COUNTA($Y42:$AA42)=0,"",IF(A42="","① 条目ID未生成(先在顶栏填学号与编号)",IF(COUNTIF($A$8:$A$207,A42)&gt;1,"① 条目ID重复",IF(B42="","② 缺文件名称",IF(D42="","④ 缺位阶",IF(E42="","⑤ 缺制定区域",IF(NOT(ISNUMBER(H42)),"⑧ 施行日期须为日期格式 YYYY-MM-DD",IF(AND(I42&lt;&gt;"现行有效",I42&lt;&gt;"",J42=""),"⑩ 非现行有效须填失效/修订日期",IF(AND(ISNUMBER(J42),ISNUMBER(H42),J42&lt;=H42),"⑩ 失效日期须晚于施行日期",IF(K42="","⑪ 缺主题标签(主)",IF(AND(L42&lt;&gt;"",L42=K42),"⑫ 次标签不得与主标签相同",IF(AND(ISERROR(SEARCH("条",M42)),ISERROR(SEARCH("段",M42)),ISERROR(SEARCH("项",M42))),"⑬ 条文定位须到条/款/项或段",IF(OR(N42="",O42="",P42="",Q42=""),"⑭-⑰ 五要素未填全",IF(LEN(Q42)&gt;120,"⑰ 行为模式内容超120字,请再概括",IF(S42="","⑲ 缺原文摘录",IF(LEN(S42)&gt;200,"⑲ 原文摘录超200字,说明条文选得太大",IF(AND(E42="国家",U42=""),"㉑ 国家层须填央地权限配置",IF(AND(E42="国家",V42&lt;&gt;""),"㉒ 国家层不填地方自主权类型",IF(AND(E42&lt;&gt;"国家",V42=""),"㉒ 地方层须填地方自主权类型",IF(AND(E42&lt;&gt;"国家",U42&lt;&gt;""),"㉑ 地方层不填央地权限配置",IF(W42="","㉓ 缺核实来源",IF(X42="","㉔ 缺录入人",IF(Y42="","㉕ 缺版本号","✔ 通过基础校验"))))))))))))))))))))))),"⚠ 自检公式受损(勿用剪切移动单元格),请告知老师修复")</f>
        <v/>
      </c>
    </row>
    <row r="43" customFormat="false" ht="30" hidden="false" customHeight="true" outlineLevel="0" collapsed="false">
      <c r="A43" s="36" t="str">
        <f aca="false">IF($D$4="","",IF(COUNTA($B43:$W43)+COUNTA($Y43:$AA43)=0,"",$D$4&amp;"-"&amp;TEXT(ROW()-7,"000")))</f>
        <v/>
      </c>
      <c r="B43" s="37"/>
      <c r="C43" s="37"/>
      <c r="D43" s="37"/>
      <c r="E43" s="37"/>
      <c r="F43" s="37"/>
      <c r="G43" s="38"/>
      <c r="H43" s="38"/>
      <c r="I43" s="37"/>
      <c r="J43" s="38"/>
      <c r="K43" s="37"/>
      <c r="L43" s="37"/>
      <c r="M43" s="37"/>
      <c r="N43" s="37"/>
      <c r="O43" s="37"/>
      <c r="P43" s="37"/>
      <c r="Q43" s="37"/>
      <c r="R43" s="37"/>
      <c r="S43" s="37"/>
      <c r="T43" s="37"/>
      <c r="U43" s="37"/>
      <c r="V43" s="37"/>
      <c r="W43" s="37"/>
      <c r="X43" s="36" t="str">
        <f aca="false">IF($A43="","",TRIM($B$4&amp;" "&amp;$D$4))</f>
        <v/>
      </c>
      <c r="Y43" s="37"/>
      <c r="Z43" s="38"/>
      <c r="AA43" s="37"/>
      <c r="AB43" s="39" t="str">
        <f aca="false">IFERROR(IF(COUNTA($B43:$W43)+COUNTA($Y43:$AA43)=0,"",IF(A43="","① 条目ID未生成(先在顶栏填学号与编号)",IF(COUNTIF($A$8:$A$207,A43)&gt;1,"① 条目ID重复",IF(B43="","② 缺文件名称",IF(D43="","④ 缺位阶",IF(E43="","⑤ 缺制定区域",IF(NOT(ISNUMBER(H43)),"⑧ 施行日期须为日期格式 YYYY-MM-DD",IF(AND(I43&lt;&gt;"现行有效",I43&lt;&gt;"",J43=""),"⑩ 非现行有效须填失效/修订日期",IF(AND(ISNUMBER(J43),ISNUMBER(H43),J43&lt;=H43),"⑩ 失效日期须晚于施行日期",IF(K43="","⑪ 缺主题标签(主)",IF(AND(L43&lt;&gt;"",L43=K43),"⑫ 次标签不得与主标签相同",IF(AND(ISERROR(SEARCH("条",M43)),ISERROR(SEARCH("段",M43)),ISERROR(SEARCH("项",M43))),"⑬ 条文定位须到条/款/项或段",IF(OR(N43="",O43="",P43="",Q43=""),"⑭-⑰ 五要素未填全",IF(LEN(Q43)&gt;120,"⑰ 行为模式内容超120字,请再概括",IF(S43="","⑲ 缺原文摘录",IF(LEN(S43)&gt;200,"⑲ 原文摘录超200字,说明条文选得太大",IF(AND(E43="国家",U43=""),"㉑ 国家层须填央地权限配置",IF(AND(E43="国家",V43&lt;&gt;""),"㉒ 国家层不填地方自主权类型",IF(AND(E43&lt;&gt;"国家",V43=""),"㉒ 地方层须填地方自主权类型",IF(AND(E43&lt;&gt;"国家",U43&lt;&gt;""),"㉑ 地方层不填央地权限配置",IF(W43="","㉓ 缺核实来源",IF(X43="","㉔ 缺录入人",IF(Y43="","㉕ 缺版本号","✔ 通过基础校验"))))))))))))))))))))))),"⚠ 自检公式受损(勿用剪切移动单元格),请告知老师修复")</f>
        <v/>
      </c>
    </row>
    <row r="44" customFormat="false" ht="30" hidden="false" customHeight="true" outlineLevel="0" collapsed="false">
      <c r="A44" s="36" t="str">
        <f aca="false">IF($D$4="","",IF(COUNTA($B44:$W44)+COUNTA($Y44:$AA44)=0,"",$D$4&amp;"-"&amp;TEXT(ROW()-7,"000")))</f>
        <v/>
      </c>
      <c r="B44" s="37"/>
      <c r="C44" s="37"/>
      <c r="D44" s="37"/>
      <c r="E44" s="37"/>
      <c r="F44" s="37"/>
      <c r="G44" s="38"/>
      <c r="H44" s="38"/>
      <c r="I44" s="37"/>
      <c r="J44" s="38"/>
      <c r="K44" s="37"/>
      <c r="L44" s="37"/>
      <c r="M44" s="37"/>
      <c r="N44" s="37"/>
      <c r="O44" s="37"/>
      <c r="P44" s="37"/>
      <c r="Q44" s="37"/>
      <c r="R44" s="37"/>
      <c r="S44" s="37"/>
      <c r="T44" s="37"/>
      <c r="U44" s="37"/>
      <c r="V44" s="37"/>
      <c r="W44" s="37"/>
      <c r="X44" s="36" t="str">
        <f aca="false">IF($A44="","",TRIM($B$4&amp;" "&amp;$D$4))</f>
        <v/>
      </c>
      <c r="Y44" s="37"/>
      <c r="Z44" s="38"/>
      <c r="AA44" s="37"/>
      <c r="AB44" s="39" t="str">
        <f aca="false">IFERROR(IF(COUNTA($B44:$W44)+COUNTA($Y44:$AA44)=0,"",IF(A44="","① 条目ID未生成(先在顶栏填学号与编号)",IF(COUNTIF($A$8:$A$207,A44)&gt;1,"① 条目ID重复",IF(B44="","② 缺文件名称",IF(D44="","④ 缺位阶",IF(E44="","⑤ 缺制定区域",IF(NOT(ISNUMBER(H44)),"⑧ 施行日期须为日期格式 YYYY-MM-DD",IF(AND(I44&lt;&gt;"现行有效",I44&lt;&gt;"",J44=""),"⑩ 非现行有效须填失效/修订日期",IF(AND(ISNUMBER(J44),ISNUMBER(H44),J44&lt;=H44),"⑩ 失效日期须晚于施行日期",IF(K44="","⑪ 缺主题标签(主)",IF(AND(L44&lt;&gt;"",L44=K44),"⑫ 次标签不得与主标签相同",IF(AND(ISERROR(SEARCH("条",M44)),ISERROR(SEARCH("段",M44)),ISERROR(SEARCH("项",M44))),"⑬ 条文定位须到条/款/项或段",IF(OR(N44="",O44="",P44="",Q44=""),"⑭-⑰ 五要素未填全",IF(LEN(Q44)&gt;120,"⑰ 行为模式内容超120字,请再概括",IF(S44="","⑲ 缺原文摘录",IF(LEN(S44)&gt;200,"⑲ 原文摘录超200字,说明条文选得太大",IF(AND(E44="国家",U44=""),"㉑ 国家层须填央地权限配置",IF(AND(E44="国家",V44&lt;&gt;""),"㉒ 国家层不填地方自主权类型",IF(AND(E44&lt;&gt;"国家",V44=""),"㉒ 地方层须填地方自主权类型",IF(AND(E44&lt;&gt;"国家",U44&lt;&gt;""),"㉑ 地方层不填央地权限配置",IF(W44="","㉓ 缺核实来源",IF(X44="","㉔ 缺录入人",IF(Y44="","㉕ 缺版本号","✔ 通过基础校验"))))))))))))))))))))))),"⚠ 自检公式受损(勿用剪切移动单元格),请告知老师修复")</f>
        <v/>
      </c>
    </row>
    <row r="45" customFormat="false" ht="30" hidden="false" customHeight="true" outlineLevel="0" collapsed="false">
      <c r="A45" s="36" t="str">
        <f aca="false">IF($D$4="","",IF(COUNTA($B45:$W45)+COUNTA($Y45:$AA45)=0,"",$D$4&amp;"-"&amp;TEXT(ROW()-7,"000")))</f>
        <v/>
      </c>
      <c r="B45" s="37"/>
      <c r="C45" s="37"/>
      <c r="D45" s="37"/>
      <c r="E45" s="37"/>
      <c r="F45" s="37"/>
      <c r="G45" s="38"/>
      <c r="H45" s="38"/>
      <c r="I45" s="37"/>
      <c r="J45" s="38"/>
      <c r="K45" s="37"/>
      <c r="L45" s="37"/>
      <c r="M45" s="37"/>
      <c r="N45" s="37"/>
      <c r="O45" s="37"/>
      <c r="P45" s="37"/>
      <c r="Q45" s="37"/>
      <c r="R45" s="37"/>
      <c r="S45" s="37"/>
      <c r="T45" s="37"/>
      <c r="U45" s="37"/>
      <c r="V45" s="37"/>
      <c r="W45" s="37"/>
      <c r="X45" s="36" t="str">
        <f aca="false">IF($A45="","",TRIM($B$4&amp;" "&amp;$D$4))</f>
        <v/>
      </c>
      <c r="Y45" s="37"/>
      <c r="Z45" s="38"/>
      <c r="AA45" s="37"/>
      <c r="AB45" s="39" t="str">
        <f aca="false">IFERROR(IF(COUNTA($B45:$W45)+COUNTA($Y45:$AA45)=0,"",IF(A45="","① 条目ID未生成(先在顶栏填学号与编号)",IF(COUNTIF($A$8:$A$207,A45)&gt;1,"① 条目ID重复",IF(B45="","② 缺文件名称",IF(D45="","④ 缺位阶",IF(E45="","⑤ 缺制定区域",IF(NOT(ISNUMBER(H45)),"⑧ 施行日期须为日期格式 YYYY-MM-DD",IF(AND(I45&lt;&gt;"现行有效",I45&lt;&gt;"",J45=""),"⑩ 非现行有效须填失效/修订日期",IF(AND(ISNUMBER(J45),ISNUMBER(H45),J45&lt;=H45),"⑩ 失效日期须晚于施行日期",IF(K45="","⑪ 缺主题标签(主)",IF(AND(L45&lt;&gt;"",L45=K45),"⑫ 次标签不得与主标签相同",IF(AND(ISERROR(SEARCH("条",M45)),ISERROR(SEARCH("段",M45)),ISERROR(SEARCH("项",M45))),"⑬ 条文定位须到条/款/项或段",IF(OR(N45="",O45="",P45="",Q45=""),"⑭-⑰ 五要素未填全",IF(LEN(Q45)&gt;120,"⑰ 行为模式内容超120字,请再概括",IF(S45="","⑲ 缺原文摘录",IF(LEN(S45)&gt;200,"⑲ 原文摘录超200字,说明条文选得太大",IF(AND(E45="国家",U45=""),"㉑ 国家层须填央地权限配置",IF(AND(E45="国家",V45&lt;&gt;""),"㉒ 国家层不填地方自主权类型",IF(AND(E45&lt;&gt;"国家",V45=""),"㉒ 地方层须填地方自主权类型",IF(AND(E45&lt;&gt;"国家",U45&lt;&gt;""),"㉑ 地方层不填央地权限配置",IF(W45="","㉓ 缺核实来源",IF(X45="","㉔ 缺录入人",IF(Y45="","㉕ 缺版本号","✔ 通过基础校验"))))))))))))))))))))))),"⚠ 自检公式受损(勿用剪切移动单元格),请告知老师修复")</f>
        <v/>
      </c>
    </row>
    <row r="46" customFormat="false" ht="30" hidden="false" customHeight="true" outlineLevel="0" collapsed="false">
      <c r="A46" s="36" t="str">
        <f aca="false">IF($D$4="","",IF(COUNTA($B46:$W46)+COUNTA($Y46:$AA46)=0,"",$D$4&amp;"-"&amp;TEXT(ROW()-7,"000")))</f>
        <v/>
      </c>
      <c r="B46" s="37"/>
      <c r="C46" s="37"/>
      <c r="D46" s="37"/>
      <c r="E46" s="37"/>
      <c r="F46" s="37"/>
      <c r="G46" s="38"/>
      <c r="H46" s="38"/>
      <c r="I46" s="37"/>
      <c r="J46" s="38"/>
      <c r="K46" s="37"/>
      <c r="L46" s="37"/>
      <c r="M46" s="37"/>
      <c r="N46" s="37"/>
      <c r="O46" s="37"/>
      <c r="P46" s="37"/>
      <c r="Q46" s="37"/>
      <c r="R46" s="37"/>
      <c r="S46" s="37"/>
      <c r="T46" s="37"/>
      <c r="U46" s="37"/>
      <c r="V46" s="37"/>
      <c r="W46" s="37"/>
      <c r="X46" s="36" t="str">
        <f aca="false">IF($A46="","",TRIM($B$4&amp;" "&amp;$D$4))</f>
        <v/>
      </c>
      <c r="Y46" s="37"/>
      <c r="Z46" s="38"/>
      <c r="AA46" s="37"/>
      <c r="AB46" s="39" t="str">
        <f aca="false">IFERROR(IF(COUNTA($B46:$W46)+COUNTA($Y46:$AA46)=0,"",IF(A46="","① 条目ID未生成(先在顶栏填学号与编号)",IF(COUNTIF($A$8:$A$207,A46)&gt;1,"① 条目ID重复",IF(B46="","② 缺文件名称",IF(D46="","④ 缺位阶",IF(E46="","⑤ 缺制定区域",IF(NOT(ISNUMBER(H46)),"⑧ 施行日期须为日期格式 YYYY-MM-DD",IF(AND(I46&lt;&gt;"现行有效",I46&lt;&gt;"",J46=""),"⑩ 非现行有效须填失效/修订日期",IF(AND(ISNUMBER(J46),ISNUMBER(H46),J46&lt;=H46),"⑩ 失效日期须晚于施行日期",IF(K46="","⑪ 缺主题标签(主)",IF(AND(L46&lt;&gt;"",L46=K46),"⑫ 次标签不得与主标签相同",IF(AND(ISERROR(SEARCH("条",M46)),ISERROR(SEARCH("段",M46)),ISERROR(SEARCH("项",M46))),"⑬ 条文定位须到条/款/项或段",IF(OR(N46="",O46="",P46="",Q46=""),"⑭-⑰ 五要素未填全",IF(LEN(Q46)&gt;120,"⑰ 行为模式内容超120字,请再概括",IF(S46="","⑲ 缺原文摘录",IF(LEN(S46)&gt;200,"⑲ 原文摘录超200字,说明条文选得太大",IF(AND(E46="国家",U46=""),"㉑ 国家层须填央地权限配置",IF(AND(E46="国家",V46&lt;&gt;""),"㉒ 国家层不填地方自主权类型",IF(AND(E46&lt;&gt;"国家",V46=""),"㉒ 地方层须填地方自主权类型",IF(AND(E46&lt;&gt;"国家",U46&lt;&gt;""),"㉑ 地方层不填央地权限配置",IF(W46="","㉓ 缺核实来源",IF(X46="","㉔ 缺录入人",IF(Y46="","㉕ 缺版本号","✔ 通过基础校验"))))))))))))))))))))))),"⚠ 自检公式受损(勿用剪切移动单元格),请告知老师修复")</f>
        <v/>
      </c>
    </row>
    <row r="47" customFormat="false" ht="30" hidden="false" customHeight="true" outlineLevel="0" collapsed="false">
      <c r="A47" s="36" t="str">
        <f aca="false">IF($D$4="","",IF(COUNTA($B47:$W47)+COUNTA($Y47:$AA47)=0,"",$D$4&amp;"-"&amp;TEXT(ROW()-7,"000")))</f>
        <v/>
      </c>
      <c r="B47" s="37"/>
      <c r="C47" s="37"/>
      <c r="D47" s="37"/>
      <c r="E47" s="37"/>
      <c r="F47" s="37"/>
      <c r="G47" s="38"/>
      <c r="H47" s="38"/>
      <c r="I47" s="37"/>
      <c r="J47" s="38"/>
      <c r="K47" s="37"/>
      <c r="L47" s="37"/>
      <c r="M47" s="37"/>
      <c r="N47" s="37"/>
      <c r="O47" s="37"/>
      <c r="P47" s="37"/>
      <c r="Q47" s="37"/>
      <c r="R47" s="37"/>
      <c r="S47" s="37"/>
      <c r="T47" s="37"/>
      <c r="U47" s="37"/>
      <c r="V47" s="37"/>
      <c r="W47" s="37"/>
      <c r="X47" s="36" t="str">
        <f aca="false">IF($A47="","",TRIM($B$4&amp;" "&amp;$D$4))</f>
        <v/>
      </c>
      <c r="Y47" s="37"/>
      <c r="Z47" s="38"/>
      <c r="AA47" s="37"/>
      <c r="AB47" s="39" t="str">
        <f aca="false">IFERROR(IF(COUNTA($B47:$W47)+COUNTA($Y47:$AA47)=0,"",IF(A47="","① 条目ID未生成(先在顶栏填学号与编号)",IF(COUNTIF($A$8:$A$207,A47)&gt;1,"① 条目ID重复",IF(B47="","② 缺文件名称",IF(D47="","④ 缺位阶",IF(E47="","⑤ 缺制定区域",IF(NOT(ISNUMBER(H47)),"⑧ 施行日期须为日期格式 YYYY-MM-DD",IF(AND(I47&lt;&gt;"现行有效",I47&lt;&gt;"",J47=""),"⑩ 非现行有效须填失效/修订日期",IF(AND(ISNUMBER(J47),ISNUMBER(H47),J47&lt;=H47),"⑩ 失效日期须晚于施行日期",IF(K47="","⑪ 缺主题标签(主)",IF(AND(L47&lt;&gt;"",L47=K47),"⑫ 次标签不得与主标签相同",IF(AND(ISERROR(SEARCH("条",M47)),ISERROR(SEARCH("段",M47)),ISERROR(SEARCH("项",M47))),"⑬ 条文定位须到条/款/项或段",IF(OR(N47="",O47="",P47="",Q47=""),"⑭-⑰ 五要素未填全",IF(LEN(Q47)&gt;120,"⑰ 行为模式内容超120字,请再概括",IF(S47="","⑲ 缺原文摘录",IF(LEN(S47)&gt;200,"⑲ 原文摘录超200字,说明条文选得太大",IF(AND(E47="国家",U47=""),"㉑ 国家层须填央地权限配置",IF(AND(E47="国家",V47&lt;&gt;""),"㉒ 国家层不填地方自主权类型",IF(AND(E47&lt;&gt;"国家",V47=""),"㉒ 地方层须填地方自主权类型",IF(AND(E47&lt;&gt;"国家",U47&lt;&gt;""),"㉑ 地方层不填央地权限配置",IF(W47="","㉓ 缺核实来源",IF(X47="","㉔ 缺录入人",IF(Y47="","㉕ 缺版本号","✔ 通过基础校验"))))))))))))))))))))))),"⚠ 自检公式受损(勿用剪切移动单元格),请告知老师修复")</f>
        <v/>
      </c>
    </row>
    <row r="48" customFormat="false" ht="30" hidden="false" customHeight="true" outlineLevel="0" collapsed="false">
      <c r="A48" s="36" t="str">
        <f aca="false">IF($D$4="","",IF(COUNTA($B48:$W48)+COUNTA($Y48:$AA48)=0,"",$D$4&amp;"-"&amp;TEXT(ROW()-7,"000")))</f>
        <v/>
      </c>
      <c r="B48" s="37"/>
      <c r="C48" s="37"/>
      <c r="D48" s="37"/>
      <c r="E48" s="37"/>
      <c r="F48" s="37"/>
      <c r="G48" s="38"/>
      <c r="H48" s="38"/>
      <c r="I48" s="37"/>
      <c r="J48" s="38"/>
      <c r="K48" s="37"/>
      <c r="L48" s="37"/>
      <c r="M48" s="37"/>
      <c r="N48" s="37"/>
      <c r="O48" s="37"/>
      <c r="P48" s="37"/>
      <c r="Q48" s="37"/>
      <c r="R48" s="37"/>
      <c r="S48" s="37"/>
      <c r="T48" s="37"/>
      <c r="U48" s="37"/>
      <c r="V48" s="37"/>
      <c r="W48" s="37"/>
      <c r="X48" s="36" t="str">
        <f aca="false">IF($A48="","",TRIM($B$4&amp;" "&amp;$D$4))</f>
        <v/>
      </c>
      <c r="Y48" s="37"/>
      <c r="Z48" s="38"/>
      <c r="AA48" s="37"/>
      <c r="AB48" s="39" t="str">
        <f aca="false">IFERROR(IF(COUNTA($B48:$W48)+COUNTA($Y48:$AA48)=0,"",IF(A48="","① 条目ID未生成(先在顶栏填学号与编号)",IF(COUNTIF($A$8:$A$207,A48)&gt;1,"① 条目ID重复",IF(B48="","② 缺文件名称",IF(D48="","④ 缺位阶",IF(E48="","⑤ 缺制定区域",IF(NOT(ISNUMBER(H48)),"⑧ 施行日期须为日期格式 YYYY-MM-DD",IF(AND(I48&lt;&gt;"现行有效",I48&lt;&gt;"",J48=""),"⑩ 非现行有效须填失效/修订日期",IF(AND(ISNUMBER(J48),ISNUMBER(H48),J48&lt;=H48),"⑩ 失效日期须晚于施行日期",IF(K48="","⑪ 缺主题标签(主)",IF(AND(L48&lt;&gt;"",L48=K48),"⑫ 次标签不得与主标签相同",IF(AND(ISERROR(SEARCH("条",M48)),ISERROR(SEARCH("段",M48)),ISERROR(SEARCH("项",M48))),"⑬ 条文定位须到条/款/项或段",IF(OR(N48="",O48="",P48="",Q48=""),"⑭-⑰ 五要素未填全",IF(LEN(Q48)&gt;120,"⑰ 行为模式内容超120字,请再概括",IF(S48="","⑲ 缺原文摘录",IF(LEN(S48)&gt;200,"⑲ 原文摘录超200字,说明条文选得太大",IF(AND(E48="国家",U48=""),"㉑ 国家层须填央地权限配置",IF(AND(E48="国家",V48&lt;&gt;""),"㉒ 国家层不填地方自主权类型",IF(AND(E48&lt;&gt;"国家",V48=""),"㉒ 地方层须填地方自主权类型",IF(AND(E48&lt;&gt;"国家",U48&lt;&gt;""),"㉑ 地方层不填央地权限配置",IF(W48="","㉓ 缺核实来源",IF(X48="","㉔ 缺录入人",IF(Y48="","㉕ 缺版本号","✔ 通过基础校验"))))))))))))))))))))))),"⚠ 自检公式受损(勿用剪切移动单元格),请告知老师修复")</f>
        <v/>
      </c>
    </row>
    <row r="49" customFormat="false" ht="30" hidden="false" customHeight="true" outlineLevel="0" collapsed="false">
      <c r="A49" s="36" t="str">
        <f aca="false">IF($D$4="","",IF(COUNTA($B49:$W49)+COUNTA($Y49:$AA49)=0,"",$D$4&amp;"-"&amp;TEXT(ROW()-7,"000")))</f>
        <v/>
      </c>
      <c r="B49" s="37"/>
      <c r="C49" s="37"/>
      <c r="D49" s="37"/>
      <c r="E49" s="37"/>
      <c r="F49" s="37"/>
      <c r="G49" s="38"/>
      <c r="H49" s="38"/>
      <c r="I49" s="37"/>
      <c r="J49" s="38"/>
      <c r="K49" s="37"/>
      <c r="L49" s="37"/>
      <c r="M49" s="37"/>
      <c r="N49" s="37"/>
      <c r="O49" s="37"/>
      <c r="P49" s="37"/>
      <c r="Q49" s="37"/>
      <c r="R49" s="37"/>
      <c r="S49" s="37"/>
      <c r="T49" s="37"/>
      <c r="U49" s="37"/>
      <c r="V49" s="37"/>
      <c r="W49" s="37"/>
      <c r="X49" s="36" t="str">
        <f aca="false">IF($A49="","",TRIM($B$4&amp;" "&amp;$D$4))</f>
        <v/>
      </c>
      <c r="Y49" s="37"/>
      <c r="Z49" s="38"/>
      <c r="AA49" s="37"/>
      <c r="AB49" s="39" t="str">
        <f aca="false">IFERROR(IF(COUNTA($B49:$W49)+COUNTA($Y49:$AA49)=0,"",IF(A49="","① 条目ID未生成(先在顶栏填学号与编号)",IF(COUNTIF($A$8:$A$207,A49)&gt;1,"① 条目ID重复",IF(B49="","② 缺文件名称",IF(D49="","④ 缺位阶",IF(E49="","⑤ 缺制定区域",IF(NOT(ISNUMBER(H49)),"⑧ 施行日期须为日期格式 YYYY-MM-DD",IF(AND(I49&lt;&gt;"现行有效",I49&lt;&gt;"",J49=""),"⑩ 非现行有效须填失效/修订日期",IF(AND(ISNUMBER(J49),ISNUMBER(H49),J49&lt;=H49),"⑩ 失效日期须晚于施行日期",IF(K49="","⑪ 缺主题标签(主)",IF(AND(L49&lt;&gt;"",L49=K49),"⑫ 次标签不得与主标签相同",IF(AND(ISERROR(SEARCH("条",M49)),ISERROR(SEARCH("段",M49)),ISERROR(SEARCH("项",M49))),"⑬ 条文定位须到条/款/项或段",IF(OR(N49="",O49="",P49="",Q49=""),"⑭-⑰ 五要素未填全",IF(LEN(Q49)&gt;120,"⑰ 行为模式内容超120字,请再概括",IF(S49="","⑲ 缺原文摘录",IF(LEN(S49)&gt;200,"⑲ 原文摘录超200字,说明条文选得太大",IF(AND(E49="国家",U49=""),"㉑ 国家层须填央地权限配置",IF(AND(E49="国家",V49&lt;&gt;""),"㉒ 国家层不填地方自主权类型",IF(AND(E49&lt;&gt;"国家",V49=""),"㉒ 地方层须填地方自主权类型",IF(AND(E49&lt;&gt;"国家",U49&lt;&gt;""),"㉑ 地方层不填央地权限配置",IF(W49="","㉓ 缺核实来源",IF(X49="","㉔ 缺录入人",IF(Y49="","㉕ 缺版本号","✔ 通过基础校验"))))))))))))))))))))))),"⚠ 自检公式受损(勿用剪切移动单元格),请告知老师修复")</f>
        <v/>
      </c>
    </row>
    <row r="50" customFormat="false" ht="30" hidden="false" customHeight="true" outlineLevel="0" collapsed="false">
      <c r="A50" s="36" t="str">
        <f aca="false">IF($D$4="","",IF(COUNTA($B50:$W50)+COUNTA($Y50:$AA50)=0,"",$D$4&amp;"-"&amp;TEXT(ROW()-7,"000")))</f>
        <v/>
      </c>
      <c r="B50" s="37"/>
      <c r="C50" s="37"/>
      <c r="D50" s="37"/>
      <c r="E50" s="37"/>
      <c r="F50" s="37"/>
      <c r="G50" s="38"/>
      <c r="H50" s="38"/>
      <c r="I50" s="37"/>
      <c r="J50" s="38"/>
      <c r="K50" s="37"/>
      <c r="L50" s="37"/>
      <c r="M50" s="37"/>
      <c r="N50" s="37"/>
      <c r="O50" s="37"/>
      <c r="P50" s="37"/>
      <c r="Q50" s="37"/>
      <c r="R50" s="37"/>
      <c r="S50" s="37"/>
      <c r="T50" s="37"/>
      <c r="U50" s="37"/>
      <c r="V50" s="37"/>
      <c r="W50" s="37"/>
      <c r="X50" s="36" t="str">
        <f aca="false">IF($A50="","",TRIM($B$4&amp;" "&amp;$D$4))</f>
        <v/>
      </c>
      <c r="Y50" s="37"/>
      <c r="Z50" s="38"/>
      <c r="AA50" s="37"/>
      <c r="AB50" s="39" t="str">
        <f aca="false">IFERROR(IF(COUNTA($B50:$W50)+COUNTA($Y50:$AA50)=0,"",IF(A50="","① 条目ID未生成(先在顶栏填学号与编号)",IF(COUNTIF($A$8:$A$207,A50)&gt;1,"① 条目ID重复",IF(B50="","② 缺文件名称",IF(D50="","④ 缺位阶",IF(E50="","⑤ 缺制定区域",IF(NOT(ISNUMBER(H50)),"⑧ 施行日期须为日期格式 YYYY-MM-DD",IF(AND(I50&lt;&gt;"现行有效",I50&lt;&gt;"",J50=""),"⑩ 非现行有效须填失效/修订日期",IF(AND(ISNUMBER(J50),ISNUMBER(H50),J50&lt;=H50),"⑩ 失效日期须晚于施行日期",IF(K50="","⑪ 缺主题标签(主)",IF(AND(L50&lt;&gt;"",L50=K50),"⑫ 次标签不得与主标签相同",IF(AND(ISERROR(SEARCH("条",M50)),ISERROR(SEARCH("段",M50)),ISERROR(SEARCH("项",M50))),"⑬ 条文定位须到条/款/项或段",IF(OR(N50="",O50="",P50="",Q50=""),"⑭-⑰ 五要素未填全",IF(LEN(Q50)&gt;120,"⑰ 行为模式内容超120字,请再概括",IF(S50="","⑲ 缺原文摘录",IF(LEN(S50)&gt;200,"⑲ 原文摘录超200字,说明条文选得太大",IF(AND(E50="国家",U50=""),"㉑ 国家层须填央地权限配置",IF(AND(E50="国家",V50&lt;&gt;""),"㉒ 国家层不填地方自主权类型",IF(AND(E50&lt;&gt;"国家",V50=""),"㉒ 地方层须填地方自主权类型",IF(AND(E50&lt;&gt;"国家",U50&lt;&gt;""),"㉑ 地方层不填央地权限配置",IF(W50="","㉓ 缺核实来源",IF(X50="","㉔ 缺录入人",IF(Y50="","㉕ 缺版本号","✔ 通过基础校验"))))))))))))))))))))))),"⚠ 自检公式受损(勿用剪切移动单元格),请告知老师修复")</f>
        <v/>
      </c>
    </row>
    <row r="51" customFormat="false" ht="30" hidden="false" customHeight="true" outlineLevel="0" collapsed="false">
      <c r="A51" s="36" t="str">
        <f aca="false">IF($D$4="","",IF(COUNTA($B51:$W51)+COUNTA($Y51:$AA51)=0,"",$D$4&amp;"-"&amp;TEXT(ROW()-7,"000")))</f>
        <v/>
      </c>
      <c r="B51" s="37"/>
      <c r="C51" s="37"/>
      <c r="D51" s="37"/>
      <c r="E51" s="37"/>
      <c r="F51" s="37"/>
      <c r="G51" s="38"/>
      <c r="H51" s="38"/>
      <c r="I51" s="37"/>
      <c r="J51" s="38"/>
      <c r="K51" s="37"/>
      <c r="L51" s="37"/>
      <c r="M51" s="37"/>
      <c r="N51" s="37"/>
      <c r="O51" s="37"/>
      <c r="P51" s="37"/>
      <c r="Q51" s="37"/>
      <c r="R51" s="37"/>
      <c r="S51" s="37"/>
      <c r="T51" s="37"/>
      <c r="U51" s="37"/>
      <c r="V51" s="37"/>
      <c r="W51" s="37"/>
      <c r="X51" s="36" t="str">
        <f aca="false">IF($A51="","",TRIM($B$4&amp;" "&amp;$D$4))</f>
        <v/>
      </c>
      <c r="Y51" s="37"/>
      <c r="Z51" s="38"/>
      <c r="AA51" s="37"/>
      <c r="AB51" s="39" t="str">
        <f aca="false">IFERROR(IF(COUNTA($B51:$W51)+COUNTA($Y51:$AA51)=0,"",IF(A51="","① 条目ID未生成(先在顶栏填学号与编号)",IF(COUNTIF($A$8:$A$207,A51)&gt;1,"① 条目ID重复",IF(B51="","② 缺文件名称",IF(D51="","④ 缺位阶",IF(E51="","⑤ 缺制定区域",IF(NOT(ISNUMBER(H51)),"⑧ 施行日期须为日期格式 YYYY-MM-DD",IF(AND(I51&lt;&gt;"现行有效",I51&lt;&gt;"",J51=""),"⑩ 非现行有效须填失效/修订日期",IF(AND(ISNUMBER(J51),ISNUMBER(H51),J51&lt;=H51),"⑩ 失效日期须晚于施行日期",IF(K51="","⑪ 缺主题标签(主)",IF(AND(L51&lt;&gt;"",L51=K51),"⑫ 次标签不得与主标签相同",IF(AND(ISERROR(SEARCH("条",M51)),ISERROR(SEARCH("段",M51)),ISERROR(SEARCH("项",M51))),"⑬ 条文定位须到条/款/项或段",IF(OR(N51="",O51="",P51="",Q51=""),"⑭-⑰ 五要素未填全",IF(LEN(Q51)&gt;120,"⑰ 行为模式内容超120字,请再概括",IF(S51="","⑲ 缺原文摘录",IF(LEN(S51)&gt;200,"⑲ 原文摘录超200字,说明条文选得太大",IF(AND(E51="国家",U51=""),"㉑ 国家层须填央地权限配置",IF(AND(E51="国家",V51&lt;&gt;""),"㉒ 国家层不填地方自主权类型",IF(AND(E51&lt;&gt;"国家",V51=""),"㉒ 地方层须填地方自主权类型",IF(AND(E51&lt;&gt;"国家",U51&lt;&gt;""),"㉑ 地方层不填央地权限配置",IF(W51="","㉓ 缺核实来源",IF(X51="","㉔ 缺录入人",IF(Y51="","㉕ 缺版本号","✔ 通过基础校验"))))))))))))))))))))))),"⚠ 自检公式受损(勿用剪切移动单元格),请告知老师修复")</f>
        <v/>
      </c>
    </row>
    <row r="52" customFormat="false" ht="30" hidden="false" customHeight="true" outlineLevel="0" collapsed="false">
      <c r="A52" s="36" t="str">
        <f aca="false">IF($D$4="","",IF(COUNTA($B52:$W52)+COUNTA($Y52:$AA52)=0,"",$D$4&amp;"-"&amp;TEXT(ROW()-7,"000")))</f>
        <v/>
      </c>
      <c r="B52" s="37"/>
      <c r="C52" s="37"/>
      <c r="D52" s="37"/>
      <c r="E52" s="37"/>
      <c r="F52" s="37"/>
      <c r="G52" s="38"/>
      <c r="H52" s="38"/>
      <c r="I52" s="37"/>
      <c r="J52" s="38"/>
      <c r="K52" s="37"/>
      <c r="L52" s="37"/>
      <c r="M52" s="37"/>
      <c r="N52" s="37"/>
      <c r="O52" s="37"/>
      <c r="P52" s="37"/>
      <c r="Q52" s="37"/>
      <c r="R52" s="37"/>
      <c r="S52" s="37"/>
      <c r="T52" s="37"/>
      <c r="U52" s="37"/>
      <c r="V52" s="37"/>
      <c r="W52" s="37"/>
      <c r="X52" s="36" t="str">
        <f aca="false">IF($A52="","",TRIM($B$4&amp;" "&amp;$D$4))</f>
        <v/>
      </c>
      <c r="Y52" s="37"/>
      <c r="Z52" s="38"/>
      <c r="AA52" s="37"/>
      <c r="AB52" s="39" t="str">
        <f aca="false">IFERROR(IF(COUNTA($B52:$W52)+COUNTA($Y52:$AA52)=0,"",IF(A52="","① 条目ID未生成(先在顶栏填学号与编号)",IF(COUNTIF($A$8:$A$207,A52)&gt;1,"① 条目ID重复",IF(B52="","② 缺文件名称",IF(D52="","④ 缺位阶",IF(E52="","⑤ 缺制定区域",IF(NOT(ISNUMBER(H52)),"⑧ 施行日期须为日期格式 YYYY-MM-DD",IF(AND(I52&lt;&gt;"现行有效",I52&lt;&gt;"",J52=""),"⑩ 非现行有效须填失效/修订日期",IF(AND(ISNUMBER(J52),ISNUMBER(H52),J52&lt;=H52),"⑩ 失效日期须晚于施行日期",IF(K52="","⑪ 缺主题标签(主)",IF(AND(L52&lt;&gt;"",L52=K52),"⑫ 次标签不得与主标签相同",IF(AND(ISERROR(SEARCH("条",M52)),ISERROR(SEARCH("段",M52)),ISERROR(SEARCH("项",M52))),"⑬ 条文定位须到条/款/项或段",IF(OR(N52="",O52="",P52="",Q52=""),"⑭-⑰ 五要素未填全",IF(LEN(Q52)&gt;120,"⑰ 行为模式内容超120字,请再概括",IF(S52="","⑲ 缺原文摘录",IF(LEN(S52)&gt;200,"⑲ 原文摘录超200字,说明条文选得太大",IF(AND(E52="国家",U52=""),"㉑ 国家层须填央地权限配置",IF(AND(E52="国家",V52&lt;&gt;""),"㉒ 国家层不填地方自主权类型",IF(AND(E52&lt;&gt;"国家",V52=""),"㉒ 地方层须填地方自主权类型",IF(AND(E52&lt;&gt;"国家",U52&lt;&gt;""),"㉑ 地方层不填央地权限配置",IF(W52="","㉓ 缺核实来源",IF(X52="","㉔ 缺录入人",IF(Y52="","㉕ 缺版本号","✔ 通过基础校验"))))))))))))))))))))))),"⚠ 自检公式受损(勿用剪切移动单元格),请告知老师修复")</f>
        <v/>
      </c>
    </row>
    <row r="53" customFormat="false" ht="30" hidden="false" customHeight="true" outlineLevel="0" collapsed="false">
      <c r="A53" s="36" t="str">
        <f aca="false">IF($D$4="","",IF(COUNTA($B53:$W53)+COUNTA($Y53:$AA53)=0,"",$D$4&amp;"-"&amp;TEXT(ROW()-7,"000")))</f>
        <v/>
      </c>
      <c r="B53" s="37"/>
      <c r="C53" s="37"/>
      <c r="D53" s="37"/>
      <c r="E53" s="37"/>
      <c r="F53" s="37"/>
      <c r="G53" s="38"/>
      <c r="H53" s="38"/>
      <c r="I53" s="37"/>
      <c r="J53" s="38"/>
      <c r="K53" s="37"/>
      <c r="L53" s="37"/>
      <c r="M53" s="37"/>
      <c r="N53" s="37"/>
      <c r="O53" s="37"/>
      <c r="P53" s="37"/>
      <c r="Q53" s="37"/>
      <c r="R53" s="37"/>
      <c r="S53" s="37"/>
      <c r="T53" s="37"/>
      <c r="U53" s="37"/>
      <c r="V53" s="37"/>
      <c r="W53" s="37"/>
      <c r="X53" s="36" t="str">
        <f aca="false">IF($A53="","",TRIM($B$4&amp;" "&amp;$D$4))</f>
        <v/>
      </c>
      <c r="Y53" s="37"/>
      <c r="Z53" s="38"/>
      <c r="AA53" s="37"/>
      <c r="AB53" s="39" t="str">
        <f aca="false">IFERROR(IF(COUNTA($B53:$W53)+COUNTA($Y53:$AA53)=0,"",IF(A53="","① 条目ID未生成(先在顶栏填学号与编号)",IF(COUNTIF($A$8:$A$207,A53)&gt;1,"① 条目ID重复",IF(B53="","② 缺文件名称",IF(D53="","④ 缺位阶",IF(E53="","⑤ 缺制定区域",IF(NOT(ISNUMBER(H53)),"⑧ 施行日期须为日期格式 YYYY-MM-DD",IF(AND(I53&lt;&gt;"现行有效",I53&lt;&gt;"",J53=""),"⑩ 非现行有效须填失效/修订日期",IF(AND(ISNUMBER(J53),ISNUMBER(H53),J53&lt;=H53),"⑩ 失效日期须晚于施行日期",IF(K53="","⑪ 缺主题标签(主)",IF(AND(L53&lt;&gt;"",L53=K53),"⑫ 次标签不得与主标签相同",IF(AND(ISERROR(SEARCH("条",M53)),ISERROR(SEARCH("段",M53)),ISERROR(SEARCH("项",M53))),"⑬ 条文定位须到条/款/项或段",IF(OR(N53="",O53="",P53="",Q53=""),"⑭-⑰ 五要素未填全",IF(LEN(Q53)&gt;120,"⑰ 行为模式内容超120字,请再概括",IF(S53="","⑲ 缺原文摘录",IF(LEN(S53)&gt;200,"⑲ 原文摘录超200字,说明条文选得太大",IF(AND(E53="国家",U53=""),"㉑ 国家层须填央地权限配置",IF(AND(E53="国家",V53&lt;&gt;""),"㉒ 国家层不填地方自主权类型",IF(AND(E53&lt;&gt;"国家",V53=""),"㉒ 地方层须填地方自主权类型",IF(AND(E53&lt;&gt;"国家",U53&lt;&gt;""),"㉑ 地方层不填央地权限配置",IF(W53="","㉓ 缺核实来源",IF(X53="","㉔ 缺录入人",IF(Y53="","㉕ 缺版本号","✔ 通过基础校验"))))))))))))))))))))))),"⚠ 自检公式受损(勿用剪切移动单元格),请告知老师修复")</f>
        <v/>
      </c>
    </row>
    <row r="54" customFormat="false" ht="30" hidden="false" customHeight="true" outlineLevel="0" collapsed="false">
      <c r="A54" s="36" t="str">
        <f aca="false">IF($D$4="","",IF(COUNTA($B54:$W54)+COUNTA($Y54:$AA54)=0,"",$D$4&amp;"-"&amp;TEXT(ROW()-7,"000")))</f>
        <v/>
      </c>
      <c r="B54" s="37"/>
      <c r="C54" s="37"/>
      <c r="D54" s="37"/>
      <c r="E54" s="37"/>
      <c r="F54" s="37"/>
      <c r="G54" s="38"/>
      <c r="H54" s="38"/>
      <c r="I54" s="37"/>
      <c r="J54" s="38"/>
      <c r="K54" s="37"/>
      <c r="L54" s="37"/>
      <c r="M54" s="37"/>
      <c r="N54" s="37"/>
      <c r="O54" s="37"/>
      <c r="P54" s="37"/>
      <c r="Q54" s="37"/>
      <c r="R54" s="37"/>
      <c r="S54" s="37"/>
      <c r="T54" s="37"/>
      <c r="U54" s="37"/>
      <c r="V54" s="37"/>
      <c r="W54" s="37"/>
      <c r="X54" s="36" t="str">
        <f aca="false">IF($A54="","",TRIM($B$4&amp;" "&amp;$D$4))</f>
        <v/>
      </c>
      <c r="Y54" s="37"/>
      <c r="Z54" s="38"/>
      <c r="AA54" s="37"/>
      <c r="AB54" s="39" t="str">
        <f aca="false">IFERROR(IF(COUNTA($B54:$W54)+COUNTA($Y54:$AA54)=0,"",IF(A54="","① 条目ID未生成(先在顶栏填学号与编号)",IF(COUNTIF($A$8:$A$207,A54)&gt;1,"① 条目ID重复",IF(B54="","② 缺文件名称",IF(D54="","④ 缺位阶",IF(E54="","⑤ 缺制定区域",IF(NOT(ISNUMBER(H54)),"⑧ 施行日期须为日期格式 YYYY-MM-DD",IF(AND(I54&lt;&gt;"现行有效",I54&lt;&gt;"",J54=""),"⑩ 非现行有效须填失效/修订日期",IF(AND(ISNUMBER(J54),ISNUMBER(H54),J54&lt;=H54),"⑩ 失效日期须晚于施行日期",IF(K54="","⑪ 缺主题标签(主)",IF(AND(L54&lt;&gt;"",L54=K54),"⑫ 次标签不得与主标签相同",IF(AND(ISERROR(SEARCH("条",M54)),ISERROR(SEARCH("段",M54)),ISERROR(SEARCH("项",M54))),"⑬ 条文定位须到条/款/项或段",IF(OR(N54="",O54="",P54="",Q54=""),"⑭-⑰ 五要素未填全",IF(LEN(Q54)&gt;120,"⑰ 行为模式内容超120字,请再概括",IF(S54="","⑲ 缺原文摘录",IF(LEN(S54)&gt;200,"⑲ 原文摘录超200字,说明条文选得太大",IF(AND(E54="国家",U54=""),"㉑ 国家层须填央地权限配置",IF(AND(E54="国家",V54&lt;&gt;""),"㉒ 国家层不填地方自主权类型",IF(AND(E54&lt;&gt;"国家",V54=""),"㉒ 地方层须填地方自主权类型",IF(AND(E54&lt;&gt;"国家",U54&lt;&gt;""),"㉑ 地方层不填央地权限配置",IF(W54="","㉓ 缺核实来源",IF(X54="","㉔ 缺录入人",IF(Y54="","㉕ 缺版本号","✔ 通过基础校验"))))))))))))))))))))))),"⚠ 自检公式受损(勿用剪切移动单元格),请告知老师修复")</f>
        <v/>
      </c>
    </row>
    <row r="55" customFormat="false" ht="30" hidden="false" customHeight="true" outlineLevel="0" collapsed="false">
      <c r="A55" s="36" t="str">
        <f aca="false">IF($D$4="","",IF(COUNTA($B55:$W55)+COUNTA($Y55:$AA55)=0,"",$D$4&amp;"-"&amp;TEXT(ROW()-7,"000")))</f>
        <v/>
      </c>
      <c r="B55" s="37"/>
      <c r="C55" s="37"/>
      <c r="D55" s="37"/>
      <c r="E55" s="37"/>
      <c r="F55" s="37"/>
      <c r="G55" s="38"/>
      <c r="H55" s="38"/>
      <c r="I55" s="37"/>
      <c r="J55" s="38"/>
      <c r="K55" s="37"/>
      <c r="L55" s="37"/>
      <c r="M55" s="37"/>
      <c r="N55" s="37"/>
      <c r="O55" s="37"/>
      <c r="P55" s="37"/>
      <c r="Q55" s="37"/>
      <c r="R55" s="37"/>
      <c r="S55" s="37"/>
      <c r="T55" s="37"/>
      <c r="U55" s="37"/>
      <c r="V55" s="37"/>
      <c r="W55" s="37"/>
      <c r="X55" s="36" t="str">
        <f aca="false">IF($A55="","",TRIM($B$4&amp;" "&amp;$D$4))</f>
        <v/>
      </c>
      <c r="Y55" s="37"/>
      <c r="Z55" s="38"/>
      <c r="AA55" s="37"/>
      <c r="AB55" s="39" t="str">
        <f aca="false">IFERROR(IF(COUNTA($B55:$W55)+COUNTA($Y55:$AA55)=0,"",IF(A55="","① 条目ID未生成(先在顶栏填学号与编号)",IF(COUNTIF($A$8:$A$207,A55)&gt;1,"① 条目ID重复",IF(B55="","② 缺文件名称",IF(D55="","④ 缺位阶",IF(E55="","⑤ 缺制定区域",IF(NOT(ISNUMBER(H55)),"⑧ 施行日期须为日期格式 YYYY-MM-DD",IF(AND(I55&lt;&gt;"现行有效",I55&lt;&gt;"",J55=""),"⑩ 非现行有效须填失效/修订日期",IF(AND(ISNUMBER(J55),ISNUMBER(H55),J55&lt;=H55),"⑩ 失效日期须晚于施行日期",IF(K55="","⑪ 缺主题标签(主)",IF(AND(L55&lt;&gt;"",L55=K55),"⑫ 次标签不得与主标签相同",IF(AND(ISERROR(SEARCH("条",M55)),ISERROR(SEARCH("段",M55)),ISERROR(SEARCH("项",M55))),"⑬ 条文定位须到条/款/项或段",IF(OR(N55="",O55="",P55="",Q55=""),"⑭-⑰ 五要素未填全",IF(LEN(Q55)&gt;120,"⑰ 行为模式内容超120字,请再概括",IF(S55="","⑲ 缺原文摘录",IF(LEN(S55)&gt;200,"⑲ 原文摘录超200字,说明条文选得太大",IF(AND(E55="国家",U55=""),"㉑ 国家层须填央地权限配置",IF(AND(E55="国家",V55&lt;&gt;""),"㉒ 国家层不填地方自主权类型",IF(AND(E55&lt;&gt;"国家",V55=""),"㉒ 地方层须填地方自主权类型",IF(AND(E55&lt;&gt;"国家",U55&lt;&gt;""),"㉑ 地方层不填央地权限配置",IF(W55="","㉓ 缺核实来源",IF(X55="","㉔ 缺录入人",IF(Y55="","㉕ 缺版本号","✔ 通过基础校验"))))))))))))))))))))))),"⚠ 自检公式受损(勿用剪切移动单元格),请告知老师修复")</f>
        <v/>
      </c>
    </row>
    <row r="56" customFormat="false" ht="30" hidden="false" customHeight="true" outlineLevel="0" collapsed="false">
      <c r="A56" s="36" t="str">
        <f aca="false">IF($D$4="","",IF(COUNTA($B56:$W56)+COUNTA($Y56:$AA56)=0,"",$D$4&amp;"-"&amp;TEXT(ROW()-7,"000")))</f>
        <v/>
      </c>
      <c r="B56" s="37"/>
      <c r="C56" s="37"/>
      <c r="D56" s="37"/>
      <c r="E56" s="37"/>
      <c r="F56" s="37"/>
      <c r="G56" s="38"/>
      <c r="H56" s="38"/>
      <c r="I56" s="37"/>
      <c r="J56" s="38"/>
      <c r="K56" s="37"/>
      <c r="L56" s="37"/>
      <c r="M56" s="37"/>
      <c r="N56" s="37"/>
      <c r="O56" s="37"/>
      <c r="P56" s="37"/>
      <c r="Q56" s="37"/>
      <c r="R56" s="37"/>
      <c r="S56" s="37"/>
      <c r="T56" s="37"/>
      <c r="U56" s="37"/>
      <c r="V56" s="37"/>
      <c r="W56" s="37"/>
      <c r="X56" s="36" t="str">
        <f aca="false">IF($A56="","",TRIM($B$4&amp;" "&amp;$D$4))</f>
        <v/>
      </c>
      <c r="Y56" s="37"/>
      <c r="Z56" s="38"/>
      <c r="AA56" s="37"/>
      <c r="AB56" s="39" t="str">
        <f aca="false">IFERROR(IF(COUNTA($B56:$W56)+COUNTA($Y56:$AA56)=0,"",IF(A56="","① 条目ID未生成(先在顶栏填学号与编号)",IF(COUNTIF($A$8:$A$207,A56)&gt;1,"① 条目ID重复",IF(B56="","② 缺文件名称",IF(D56="","④ 缺位阶",IF(E56="","⑤ 缺制定区域",IF(NOT(ISNUMBER(H56)),"⑧ 施行日期须为日期格式 YYYY-MM-DD",IF(AND(I56&lt;&gt;"现行有效",I56&lt;&gt;"",J56=""),"⑩ 非现行有效须填失效/修订日期",IF(AND(ISNUMBER(J56),ISNUMBER(H56),J56&lt;=H56),"⑩ 失效日期须晚于施行日期",IF(K56="","⑪ 缺主题标签(主)",IF(AND(L56&lt;&gt;"",L56=K56),"⑫ 次标签不得与主标签相同",IF(AND(ISERROR(SEARCH("条",M56)),ISERROR(SEARCH("段",M56)),ISERROR(SEARCH("项",M56))),"⑬ 条文定位须到条/款/项或段",IF(OR(N56="",O56="",P56="",Q56=""),"⑭-⑰ 五要素未填全",IF(LEN(Q56)&gt;120,"⑰ 行为模式内容超120字,请再概括",IF(S56="","⑲ 缺原文摘录",IF(LEN(S56)&gt;200,"⑲ 原文摘录超200字,说明条文选得太大",IF(AND(E56="国家",U56=""),"㉑ 国家层须填央地权限配置",IF(AND(E56="国家",V56&lt;&gt;""),"㉒ 国家层不填地方自主权类型",IF(AND(E56&lt;&gt;"国家",V56=""),"㉒ 地方层须填地方自主权类型",IF(AND(E56&lt;&gt;"国家",U56&lt;&gt;""),"㉑ 地方层不填央地权限配置",IF(W56="","㉓ 缺核实来源",IF(X56="","㉔ 缺录入人",IF(Y56="","㉕ 缺版本号","✔ 通过基础校验"))))))))))))))))))))))),"⚠ 自检公式受损(勿用剪切移动单元格),请告知老师修复")</f>
        <v/>
      </c>
    </row>
    <row r="57" customFormat="false" ht="30" hidden="false" customHeight="true" outlineLevel="0" collapsed="false">
      <c r="A57" s="36" t="str">
        <f aca="false">IF($D$4="","",IF(COUNTA($B57:$W57)+COUNTA($Y57:$AA57)=0,"",$D$4&amp;"-"&amp;TEXT(ROW()-7,"000")))</f>
        <v/>
      </c>
      <c r="B57" s="37"/>
      <c r="C57" s="37"/>
      <c r="D57" s="37"/>
      <c r="E57" s="37"/>
      <c r="F57" s="37"/>
      <c r="G57" s="38"/>
      <c r="H57" s="38"/>
      <c r="I57" s="37"/>
      <c r="J57" s="38"/>
      <c r="K57" s="37"/>
      <c r="L57" s="37"/>
      <c r="M57" s="37"/>
      <c r="N57" s="37"/>
      <c r="O57" s="37"/>
      <c r="P57" s="37"/>
      <c r="Q57" s="37"/>
      <c r="R57" s="37"/>
      <c r="S57" s="37"/>
      <c r="T57" s="37"/>
      <c r="U57" s="37"/>
      <c r="V57" s="37"/>
      <c r="W57" s="37"/>
      <c r="X57" s="36" t="str">
        <f aca="false">IF($A57="","",TRIM($B$4&amp;" "&amp;$D$4))</f>
        <v/>
      </c>
      <c r="Y57" s="37"/>
      <c r="Z57" s="38"/>
      <c r="AA57" s="37"/>
      <c r="AB57" s="39" t="str">
        <f aca="false">IFERROR(IF(COUNTA($B57:$W57)+COUNTA($Y57:$AA57)=0,"",IF(A57="","① 条目ID未生成(先在顶栏填学号与编号)",IF(COUNTIF($A$8:$A$207,A57)&gt;1,"① 条目ID重复",IF(B57="","② 缺文件名称",IF(D57="","④ 缺位阶",IF(E57="","⑤ 缺制定区域",IF(NOT(ISNUMBER(H57)),"⑧ 施行日期须为日期格式 YYYY-MM-DD",IF(AND(I57&lt;&gt;"现行有效",I57&lt;&gt;"",J57=""),"⑩ 非现行有效须填失效/修订日期",IF(AND(ISNUMBER(J57),ISNUMBER(H57),J57&lt;=H57),"⑩ 失效日期须晚于施行日期",IF(K57="","⑪ 缺主题标签(主)",IF(AND(L57&lt;&gt;"",L57=K57),"⑫ 次标签不得与主标签相同",IF(AND(ISERROR(SEARCH("条",M57)),ISERROR(SEARCH("段",M57)),ISERROR(SEARCH("项",M57))),"⑬ 条文定位须到条/款/项或段",IF(OR(N57="",O57="",P57="",Q57=""),"⑭-⑰ 五要素未填全",IF(LEN(Q57)&gt;120,"⑰ 行为模式内容超120字,请再概括",IF(S57="","⑲ 缺原文摘录",IF(LEN(S57)&gt;200,"⑲ 原文摘录超200字,说明条文选得太大",IF(AND(E57="国家",U57=""),"㉑ 国家层须填央地权限配置",IF(AND(E57="国家",V57&lt;&gt;""),"㉒ 国家层不填地方自主权类型",IF(AND(E57&lt;&gt;"国家",V57=""),"㉒ 地方层须填地方自主权类型",IF(AND(E57&lt;&gt;"国家",U57&lt;&gt;""),"㉑ 地方层不填央地权限配置",IF(W57="","㉓ 缺核实来源",IF(X57="","㉔ 缺录入人",IF(Y57="","㉕ 缺版本号","✔ 通过基础校验"))))))))))))))))))))))),"⚠ 自检公式受损(勿用剪切移动单元格),请告知老师修复")</f>
        <v/>
      </c>
    </row>
    <row r="58" customFormat="false" ht="30" hidden="false" customHeight="true" outlineLevel="0" collapsed="false">
      <c r="A58" s="36" t="str">
        <f aca="false">IF($D$4="","",IF(COUNTA($B58:$W58)+COUNTA($Y58:$AA58)=0,"",$D$4&amp;"-"&amp;TEXT(ROW()-7,"000")))</f>
        <v/>
      </c>
      <c r="B58" s="37"/>
      <c r="C58" s="37"/>
      <c r="D58" s="37"/>
      <c r="E58" s="37"/>
      <c r="F58" s="37"/>
      <c r="G58" s="38"/>
      <c r="H58" s="38"/>
      <c r="I58" s="37"/>
      <c r="J58" s="38"/>
      <c r="K58" s="37"/>
      <c r="L58" s="37"/>
      <c r="M58" s="37"/>
      <c r="N58" s="37"/>
      <c r="O58" s="37"/>
      <c r="P58" s="37"/>
      <c r="Q58" s="37"/>
      <c r="R58" s="37"/>
      <c r="S58" s="37"/>
      <c r="T58" s="37"/>
      <c r="U58" s="37"/>
      <c r="V58" s="37"/>
      <c r="W58" s="37"/>
      <c r="X58" s="36" t="str">
        <f aca="false">IF($A58="","",TRIM($B$4&amp;" "&amp;$D$4))</f>
        <v/>
      </c>
      <c r="Y58" s="37"/>
      <c r="Z58" s="38"/>
      <c r="AA58" s="37"/>
      <c r="AB58" s="39" t="str">
        <f aca="false">IFERROR(IF(COUNTA($B58:$W58)+COUNTA($Y58:$AA58)=0,"",IF(A58="","① 条目ID未生成(先在顶栏填学号与编号)",IF(COUNTIF($A$8:$A$207,A58)&gt;1,"① 条目ID重复",IF(B58="","② 缺文件名称",IF(D58="","④ 缺位阶",IF(E58="","⑤ 缺制定区域",IF(NOT(ISNUMBER(H58)),"⑧ 施行日期须为日期格式 YYYY-MM-DD",IF(AND(I58&lt;&gt;"现行有效",I58&lt;&gt;"",J58=""),"⑩ 非现行有效须填失效/修订日期",IF(AND(ISNUMBER(J58),ISNUMBER(H58),J58&lt;=H58),"⑩ 失效日期须晚于施行日期",IF(K58="","⑪ 缺主题标签(主)",IF(AND(L58&lt;&gt;"",L58=K58),"⑫ 次标签不得与主标签相同",IF(AND(ISERROR(SEARCH("条",M58)),ISERROR(SEARCH("段",M58)),ISERROR(SEARCH("项",M58))),"⑬ 条文定位须到条/款/项或段",IF(OR(N58="",O58="",P58="",Q58=""),"⑭-⑰ 五要素未填全",IF(LEN(Q58)&gt;120,"⑰ 行为模式内容超120字,请再概括",IF(S58="","⑲ 缺原文摘录",IF(LEN(S58)&gt;200,"⑲ 原文摘录超200字,说明条文选得太大",IF(AND(E58="国家",U58=""),"㉑ 国家层须填央地权限配置",IF(AND(E58="国家",V58&lt;&gt;""),"㉒ 国家层不填地方自主权类型",IF(AND(E58&lt;&gt;"国家",V58=""),"㉒ 地方层须填地方自主权类型",IF(AND(E58&lt;&gt;"国家",U58&lt;&gt;""),"㉑ 地方层不填央地权限配置",IF(W58="","㉓ 缺核实来源",IF(X58="","㉔ 缺录入人",IF(Y58="","㉕ 缺版本号","✔ 通过基础校验"))))))))))))))))))))))),"⚠ 自检公式受损(勿用剪切移动单元格),请告知老师修复")</f>
        <v/>
      </c>
    </row>
    <row r="59" customFormat="false" ht="30" hidden="false" customHeight="true" outlineLevel="0" collapsed="false">
      <c r="A59" s="36" t="str">
        <f aca="false">IF($D$4="","",IF(COUNTA($B59:$W59)+COUNTA($Y59:$AA59)=0,"",$D$4&amp;"-"&amp;TEXT(ROW()-7,"000")))</f>
        <v/>
      </c>
      <c r="B59" s="37"/>
      <c r="C59" s="37"/>
      <c r="D59" s="37"/>
      <c r="E59" s="37"/>
      <c r="F59" s="37"/>
      <c r="G59" s="38"/>
      <c r="H59" s="38"/>
      <c r="I59" s="37"/>
      <c r="J59" s="38"/>
      <c r="K59" s="37"/>
      <c r="L59" s="37"/>
      <c r="M59" s="37"/>
      <c r="N59" s="37"/>
      <c r="O59" s="37"/>
      <c r="P59" s="37"/>
      <c r="Q59" s="37"/>
      <c r="R59" s="37"/>
      <c r="S59" s="37"/>
      <c r="T59" s="37"/>
      <c r="U59" s="37"/>
      <c r="V59" s="37"/>
      <c r="W59" s="37"/>
      <c r="X59" s="36" t="str">
        <f aca="false">IF($A59="","",TRIM($B$4&amp;" "&amp;$D$4))</f>
        <v/>
      </c>
      <c r="Y59" s="37"/>
      <c r="Z59" s="38"/>
      <c r="AA59" s="37"/>
      <c r="AB59" s="39" t="str">
        <f aca="false">IFERROR(IF(COUNTA($B59:$W59)+COUNTA($Y59:$AA59)=0,"",IF(A59="","① 条目ID未生成(先在顶栏填学号与编号)",IF(COUNTIF($A$8:$A$207,A59)&gt;1,"① 条目ID重复",IF(B59="","② 缺文件名称",IF(D59="","④ 缺位阶",IF(E59="","⑤ 缺制定区域",IF(NOT(ISNUMBER(H59)),"⑧ 施行日期须为日期格式 YYYY-MM-DD",IF(AND(I59&lt;&gt;"现行有效",I59&lt;&gt;"",J59=""),"⑩ 非现行有效须填失效/修订日期",IF(AND(ISNUMBER(J59),ISNUMBER(H59),J59&lt;=H59),"⑩ 失效日期须晚于施行日期",IF(K59="","⑪ 缺主题标签(主)",IF(AND(L59&lt;&gt;"",L59=K59),"⑫ 次标签不得与主标签相同",IF(AND(ISERROR(SEARCH("条",M59)),ISERROR(SEARCH("段",M59)),ISERROR(SEARCH("项",M59))),"⑬ 条文定位须到条/款/项或段",IF(OR(N59="",O59="",P59="",Q59=""),"⑭-⑰ 五要素未填全",IF(LEN(Q59)&gt;120,"⑰ 行为模式内容超120字,请再概括",IF(S59="","⑲ 缺原文摘录",IF(LEN(S59)&gt;200,"⑲ 原文摘录超200字,说明条文选得太大",IF(AND(E59="国家",U59=""),"㉑ 国家层须填央地权限配置",IF(AND(E59="国家",V59&lt;&gt;""),"㉒ 国家层不填地方自主权类型",IF(AND(E59&lt;&gt;"国家",V59=""),"㉒ 地方层须填地方自主权类型",IF(AND(E59&lt;&gt;"国家",U59&lt;&gt;""),"㉑ 地方层不填央地权限配置",IF(W59="","㉓ 缺核实来源",IF(X59="","㉔ 缺录入人",IF(Y59="","㉕ 缺版本号","✔ 通过基础校验"))))))))))))))))))))))),"⚠ 自检公式受损(勿用剪切移动单元格),请告知老师修复")</f>
        <v/>
      </c>
    </row>
    <row r="60" customFormat="false" ht="30" hidden="false" customHeight="true" outlineLevel="0" collapsed="false">
      <c r="A60" s="36" t="str">
        <f aca="false">IF($D$4="","",IF(COUNTA($B60:$W60)+COUNTA($Y60:$AA60)=0,"",$D$4&amp;"-"&amp;TEXT(ROW()-7,"000")))</f>
        <v/>
      </c>
      <c r="B60" s="37"/>
      <c r="C60" s="37"/>
      <c r="D60" s="37"/>
      <c r="E60" s="37"/>
      <c r="F60" s="37"/>
      <c r="G60" s="38"/>
      <c r="H60" s="38"/>
      <c r="I60" s="37"/>
      <c r="J60" s="38"/>
      <c r="K60" s="37"/>
      <c r="L60" s="37"/>
      <c r="M60" s="37"/>
      <c r="N60" s="37"/>
      <c r="O60" s="37"/>
      <c r="P60" s="37"/>
      <c r="Q60" s="37"/>
      <c r="R60" s="37"/>
      <c r="S60" s="37"/>
      <c r="T60" s="37"/>
      <c r="U60" s="37"/>
      <c r="V60" s="37"/>
      <c r="W60" s="37"/>
      <c r="X60" s="36" t="str">
        <f aca="false">IF($A60="","",TRIM($B$4&amp;" "&amp;$D$4))</f>
        <v/>
      </c>
      <c r="Y60" s="37"/>
      <c r="Z60" s="38"/>
      <c r="AA60" s="37"/>
      <c r="AB60" s="39" t="str">
        <f aca="false">IFERROR(IF(COUNTA($B60:$W60)+COUNTA($Y60:$AA60)=0,"",IF(A60="","① 条目ID未生成(先在顶栏填学号与编号)",IF(COUNTIF($A$8:$A$207,A60)&gt;1,"① 条目ID重复",IF(B60="","② 缺文件名称",IF(D60="","④ 缺位阶",IF(E60="","⑤ 缺制定区域",IF(NOT(ISNUMBER(H60)),"⑧ 施行日期须为日期格式 YYYY-MM-DD",IF(AND(I60&lt;&gt;"现行有效",I60&lt;&gt;"",J60=""),"⑩ 非现行有效须填失效/修订日期",IF(AND(ISNUMBER(J60),ISNUMBER(H60),J60&lt;=H60),"⑩ 失效日期须晚于施行日期",IF(K60="","⑪ 缺主题标签(主)",IF(AND(L60&lt;&gt;"",L60=K60),"⑫ 次标签不得与主标签相同",IF(AND(ISERROR(SEARCH("条",M60)),ISERROR(SEARCH("段",M60)),ISERROR(SEARCH("项",M60))),"⑬ 条文定位须到条/款/项或段",IF(OR(N60="",O60="",P60="",Q60=""),"⑭-⑰ 五要素未填全",IF(LEN(Q60)&gt;120,"⑰ 行为模式内容超120字,请再概括",IF(S60="","⑲ 缺原文摘录",IF(LEN(S60)&gt;200,"⑲ 原文摘录超200字,说明条文选得太大",IF(AND(E60="国家",U60=""),"㉑ 国家层须填央地权限配置",IF(AND(E60="国家",V60&lt;&gt;""),"㉒ 国家层不填地方自主权类型",IF(AND(E60&lt;&gt;"国家",V60=""),"㉒ 地方层须填地方自主权类型",IF(AND(E60&lt;&gt;"国家",U60&lt;&gt;""),"㉑ 地方层不填央地权限配置",IF(W60="","㉓ 缺核实来源",IF(X60="","㉔ 缺录入人",IF(Y60="","㉕ 缺版本号","✔ 通过基础校验"))))))))))))))))))))))),"⚠ 自检公式受损(勿用剪切移动单元格),请告知老师修复")</f>
        <v/>
      </c>
    </row>
    <row r="61" customFormat="false" ht="30" hidden="false" customHeight="true" outlineLevel="0" collapsed="false">
      <c r="A61" s="36" t="str">
        <f aca="false">IF($D$4="","",IF(COUNTA($B61:$W61)+COUNTA($Y61:$AA61)=0,"",$D$4&amp;"-"&amp;TEXT(ROW()-7,"000")))</f>
        <v/>
      </c>
      <c r="B61" s="37"/>
      <c r="C61" s="37"/>
      <c r="D61" s="37"/>
      <c r="E61" s="37"/>
      <c r="F61" s="37"/>
      <c r="G61" s="38"/>
      <c r="H61" s="38"/>
      <c r="I61" s="37"/>
      <c r="J61" s="38"/>
      <c r="K61" s="37"/>
      <c r="L61" s="37"/>
      <c r="M61" s="37"/>
      <c r="N61" s="37"/>
      <c r="O61" s="37"/>
      <c r="P61" s="37"/>
      <c r="Q61" s="37"/>
      <c r="R61" s="37"/>
      <c r="S61" s="37"/>
      <c r="T61" s="37"/>
      <c r="U61" s="37"/>
      <c r="V61" s="37"/>
      <c r="W61" s="37"/>
      <c r="X61" s="36" t="str">
        <f aca="false">IF($A61="","",TRIM($B$4&amp;" "&amp;$D$4))</f>
        <v/>
      </c>
      <c r="Y61" s="37"/>
      <c r="Z61" s="38"/>
      <c r="AA61" s="37"/>
      <c r="AB61" s="39" t="str">
        <f aca="false">IFERROR(IF(COUNTA($B61:$W61)+COUNTA($Y61:$AA61)=0,"",IF(A61="","① 条目ID未生成(先在顶栏填学号与编号)",IF(COUNTIF($A$8:$A$207,A61)&gt;1,"① 条目ID重复",IF(B61="","② 缺文件名称",IF(D61="","④ 缺位阶",IF(E61="","⑤ 缺制定区域",IF(NOT(ISNUMBER(H61)),"⑧ 施行日期须为日期格式 YYYY-MM-DD",IF(AND(I61&lt;&gt;"现行有效",I61&lt;&gt;"",J61=""),"⑩ 非现行有效须填失效/修订日期",IF(AND(ISNUMBER(J61),ISNUMBER(H61),J61&lt;=H61),"⑩ 失效日期须晚于施行日期",IF(K61="","⑪ 缺主题标签(主)",IF(AND(L61&lt;&gt;"",L61=K61),"⑫ 次标签不得与主标签相同",IF(AND(ISERROR(SEARCH("条",M61)),ISERROR(SEARCH("段",M61)),ISERROR(SEARCH("项",M61))),"⑬ 条文定位须到条/款/项或段",IF(OR(N61="",O61="",P61="",Q61=""),"⑭-⑰ 五要素未填全",IF(LEN(Q61)&gt;120,"⑰ 行为模式内容超120字,请再概括",IF(S61="","⑲ 缺原文摘录",IF(LEN(S61)&gt;200,"⑲ 原文摘录超200字,说明条文选得太大",IF(AND(E61="国家",U61=""),"㉑ 国家层须填央地权限配置",IF(AND(E61="国家",V61&lt;&gt;""),"㉒ 国家层不填地方自主权类型",IF(AND(E61&lt;&gt;"国家",V61=""),"㉒ 地方层须填地方自主权类型",IF(AND(E61&lt;&gt;"国家",U61&lt;&gt;""),"㉑ 地方层不填央地权限配置",IF(W61="","㉓ 缺核实来源",IF(X61="","㉔ 缺录入人",IF(Y61="","㉕ 缺版本号","✔ 通过基础校验"))))))))))))))))))))))),"⚠ 自检公式受损(勿用剪切移动单元格),请告知老师修复")</f>
        <v/>
      </c>
    </row>
    <row r="62" customFormat="false" ht="30" hidden="false" customHeight="true" outlineLevel="0" collapsed="false">
      <c r="A62" s="36" t="str">
        <f aca="false">IF($D$4="","",IF(COUNTA($B62:$W62)+COUNTA($Y62:$AA62)=0,"",$D$4&amp;"-"&amp;TEXT(ROW()-7,"000")))</f>
        <v/>
      </c>
      <c r="B62" s="37"/>
      <c r="C62" s="37"/>
      <c r="D62" s="37"/>
      <c r="E62" s="37"/>
      <c r="F62" s="37"/>
      <c r="G62" s="38"/>
      <c r="H62" s="38"/>
      <c r="I62" s="37"/>
      <c r="J62" s="38"/>
      <c r="K62" s="37"/>
      <c r="L62" s="37"/>
      <c r="M62" s="37"/>
      <c r="N62" s="37"/>
      <c r="O62" s="37"/>
      <c r="P62" s="37"/>
      <c r="Q62" s="37"/>
      <c r="R62" s="37"/>
      <c r="S62" s="37"/>
      <c r="T62" s="37"/>
      <c r="U62" s="37"/>
      <c r="V62" s="37"/>
      <c r="W62" s="37"/>
      <c r="X62" s="36" t="str">
        <f aca="false">IF($A62="","",TRIM($B$4&amp;" "&amp;$D$4))</f>
        <v/>
      </c>
      <c r="Y62" s="37"/>
      <c r="Z62" s="38"/>
      <c r="AA62" s="37"/>
      <c r="AB62" s="39" t="str">
        <f aca="false">IFERROR(IF(COUNTA($B62:$W62)+COUNTA($Y62:$AA62)=0,"",IF(A62="","① 条目ID未生成(先在顶栏填学号与编号)",IF(COUNTIF($A$8:$A$207,A62)&gt;1,"① 条目ID重复",IF(B62="","② 缺文件名称",IF(D62="","④ 缺位阶",IF(E62="","⑤ 缺制定区域",IF(NOT(ISNUMBER(H62)),"⑧ 施行日期须为日期格式 YYYY-MM-DD",IF(AND(I62&lt;&gt;"现行有效",I62&lt;&gt;"",J62=""),"⑩ 非现行有效须填失效/修订日期",IF(AND(ISNUMBER(J62),ISNUMBER(H62),J62&lt;=H62),"⑩ 失效日期须晚于施行日期",IF(K62="","⑪ 缺主题标签(主)",IF(AND(L62&lt;&gt;"",L62=K62),"⑫ 次标签不得与主标签相同",IF(AND(ISERROR(SEARCH("条",M62)),ISERROR(SEARCH("段",M62)),ISERROR(SEARCH("项",M62))),"⑬ 条文定位须到条/款/项或段",IF(OR(N62="",O62="",P62="",Q62=""),"⑭-⑰ 五要素未填全",IF(LEN(Q62)&gt;120,"⑰ 行为模式内容超120字,请再概括",IF(S62="","⑲ 缺原文摘录",IF(LEN(S62)&gt;200,"⑲ 原文摘录超200字,说明条文选得太大",IF(AND(E62="国家",U62=""),"㉑ 国家层须填央地权限配置",IF(AND(E62="国家",V62&lt;&gt;""),"㉒ 国家层不填地方自主权类型",IF(AND(E62&lt;&gt;"国家",V62=""),"㉒ 地方层须填地方自主权类型",IF(AND(E62&lt;&gt;"国家",U62&lt;&gt;""),"㉑ 地方层不填央地权限配置",IF(W62="","㉓ 缺核实来源",IF(X62="","㉔ 缺录入人",IF(Y62="","㉕ 缺版本号","✔ 通过基础校验"))))))))))))))))))))))),"⚠ 自检公式受损(勿用剪切移动单元格),请告知老师修复")</f>
        <v/>
      </c>
    </row>
    <row r="63" customFormat="false" ht="30" hidden="false" customHeight="true" outlineLevel="0" collapsed="false">
      <c r="A63" s="36" t="str">
        <f aca="false">IF($D$4="","",IF(COUNTA($B63:$W63)+COUNTA($Y63:$AA63)=0,"",$D$4&amp;"-"&amp;TEXT(ROW()-7,"000")))</f>
        <v/>
      </c>
      <c r="B63" s="37"/>
      <c r="C63" s="37"/>
      <c r="D63" s="37"/>
      <c r="E63" s="37"/>
      <c r="F63" s="37"/>
      <c r="G63" s="38"/>
      <c r="H63" s="38"/>
      <c r="I63" s="37"/>
      <c r="J63" s="38"/>
      <c r="K63" s="37"/>
      <c r="L63" s="37"/>
      <c r="M63" s="37"/>
      <c r="N63" s="37"/>
      <c r="O63" s="37"/>
      <c r="P63" s="37"/>
      <c r="Q63" s="37"/>
      <c r="R63" s="37"/>
      <c r="S63" s="37"/>
      <c r="T63" s="37"/>
      <c r="U63" s="37"/>
      <c r="V63" s="37"/>
      <c r="W63" s="37"/>
      <c r="X63" s="36" t="str">
        <f aca="false">IF($A63="","",TRIM($B$4&amp;" "&amp;$D$4))</f>
        <v/>
      </c>
      <c r="Y63" s="37"/>
      <c r="Z63" s="38"/>
      <c r="AA63" s="37"/>
      <c r="AB63" s="39" t="str">
        <f aca="false">IFERROR(IF(COUNTA($B63:$W63)+COUNTA($Y63:$AA63)=0,"",IF(A63="","① 条目ID未生成(先在顶栏填学号与编号)",IF(COUNTIF($A$8:$A$207,A63)&gt;1,"① 条目ID重复",IF(B63="","② 缺文件名称",IF(D63="","④ 缺位阶",IF(E63="","⑤ 缺制定区域",IF(NOT(ISNUMBER(H63)),"⑧ 施行日期须为日期格式 YYYY-MM-DD",IF(AND(I63&lt;&gt;"现行有效",I63&lt;&gt;"",J63=""),"⑩ 非现行有效须填失效/修订日期",IF(AND(ISNUMBER(J63),ISNUMBER(H63),J63&lt;=H63),"⑩ 失效日期须晚于施行日期",IF(K63="","⑪ 缺主题标签(主)",IF(AND(L63&lt;&gt;"",L63=K63),"⑫ 次标签不得与主标签相同",IF(AND(ISERROR(SEARCH("条",M63)),ISERROR(SEARCH("段",M63)),ISERROR(SEARCH("项",M63))),"⑬ 条文定位须到条/款/项或段",IF(OR(N63="",O63="",P63="",Q63=""),"⑭-⑰ 五要素未填全",IF(LEN(Q63)&gt;120,"⑰ 行为模式内容超120字,请再概括",IF(S63="","⑲ 缺原文摘录",IF(LEN(S63)&gt;200,"⑲ 原文摘录超200字,说明条文选得太大",IF(AND(E63="国家",U63=""),"㉑ 国家层须填央地权限配置",IF(AND(E63="国家",V63&lt;&gt;""),"㉒ 国家层不填地方自主权类型",IF(AND(E63&lt;&gt;"国家",V63=""),"㉒ 地方层须填地方自主权类型",IF(AND(E63&lt;&gt;"国家",U63&lt;&gt;""),"㉑ 地方层不填央地权限配置",IF(W63="","㉓ 缺核实来源",IF(X63="","㉔ 缺录入人",IF(Y63="","㉕ 缺版本号","✔ 通过基础校验"))))))))))))))))))))))),"⚠ 自检公式受损(勿用剪切移动单元格),请告知老师修复")</f>
        <v/>
      </c>
    </row>
    <row r="64" customFormat="false" ht="30" hidden="false" customHeight="true" outlineLevel="0" collapsed="false">
      <c r="A64" s="36" t="str">
        <f aca="false">IF($D$4="","",IF(COUNTA($B64:$W64)+COUNTA($Y64:$AA64)=0,"",$D$4&amp;"-"&amp;TEXT(ROW()-7,"000")))</f>
        <v/>
      </c>
      <c r="B64" s="37"/>
      <c r="C64" s="37"/>
      <c r="D64" s="37"/>
      <c r="E64" s="37"/>
      <c r="F64" s="37"/>
      <c r="G64" s="38"/>
      <c r="H64" s="38"/>
      <c r="I64" s="37"/>
      <c r="J64" s="38"/>
      <c r="K64" s="37"/>
      <c r="L64" s="37"/>
      <c r="M64" s="37"/>
      <c r="N64" s="37"/>
      <c r="O64" s="37"/>
      <c r="P64" s="37"/>
      <c r="Q64" s="37"/>
      <c r="R64" s="37"/>
      <c r="S64" s="37"/>
      <c r="T64" s="37"/>
      <c r="U64" s="37"/>
      <c r="V64" s="37"/>
      <c r="W64" s="37"/>
      <c r="X64" s="36" t="str">
        <f aca="false">IF($A64="","",TRIM($B$4&amp;" "&amp;$D$4))</f>
        <v/>
      </c>
      <c r="Y64" s="37"/>
      <c r="Z64" s="38"/>
      <c r="AA64" s="37"/>
      <c r="AB64" s="39" t="str">
        <f aca="false">IFERROR(IF(COUNTA($B64:$W64)+COUNTA($Y64:$AA64)=0,"",IF(A64="","① 条目ID未生成(先在顶栏填学号与编号)",IF(COUNTIF($A$8:$A$207,A64)&gt;1,"① 条目ID重复",IF(B64="","② 缺文件名称",IF(D64="","④ 缺位阶",IF(E64="","⑤ 缺制定区域",IF(NOT(ISNUMBER(H64)),"⑧ 施行日期须为日期格式 YYYY-MM-DD",IF(AND(I64&lt;&gt;"现行有效",I64&lt;&gt;"",J64=""),"⑩ 非现行有效须填失效/修订日期",IF(AND(ISNUMBER(J64),ISNUMBER(H64),J64&lt;=H64),"⑩ 失效日期须晚于施行日期",IF(K64="","⑪ 缺主题标签(主)",IF(AND(L64&lt;&gt;"",L64=K64),"⑫ 次标签不得与主标签相同",IF(AND(ISERROR(SEARCH("条",M64)),ISERROR(SEARCH("段",M64)),ISERROR(SEARCH("项",M64))),"⑬ 条文定位须到条/款/项或段",IF(OR(N64="",O64="",P64="",Q64=""),"⑭-⑰ 五要素未填全",IF(LEN(Q64)&gt;120,"⑰ 行为模式内容超120字,请再概括",IF(S64="","⑲ 缺原文摘录",IF(LEN(S64)&gt;200,"⑲ 原文摘录超200字,说明条文选得太大",IF(AND(E64="国家",U64=""),"㉑ 国家层须填央地权限配置",IF(AND(E64="国家",V64&lt;&gt;""),"㉒ 国家层不填地方自主权类型",IF(AND(E64&lt;&gt;"国家",V64=""),"㉒ 地方层须填地方自主权类型",IF(AND(E64&lt;&gt;"国家",U64&lt;&gt;""),"㉑ 地方层不填央地权限配置",IF(W64="","㉓ 缺核实来源",IF(X64="","㉔ 缺录入人",IF(Y64="","㉕ 缺版本号","✔ 通过基础校验"))))))))))))))))))))))),"⚠ 自检公式受损(勿用剪切移动单元格),请告知老师修复")</f>
        <v/>
      </c>
    </row>
    <row r="65" customFormat="false" ht="30" hidden="false" customHeight="true" outlineLevel="0" collapsed="false">
      <c r="A65" s="36" t="str">
        <f aca="false">IF($D$4="","",IF(COUNTA($B65:$W65)+COUNTA($Y65:$AA65)=0,"",$D$4&amp;"-"&amp;TEXT(ROW()-7,"000")))</f>
        <v/>
      </c>
      <c r="B65" s="37"/>
      <c r="C65" s="37"/>
      <c r="D65" s="37"/>
      <c r="E65" s="37"/>
      <c r="F65" s="37"/>
      <c r="G65" s="38"/>
      <c r="H65" s="38"/>
      <c r="I65" s="37"/>
      <c r="J65" s="38"/>
      <c r="K65" s="37"/>
      <c r="L65" s="37"/>
      <c r="M65" s="37"/>
      <c r="N65" s="37"/>
      <c r="O65" s="37"/>
      <c r="P65" s="37"/>
      <c r="Q65" s="37"/>
      <c r="R65" s="37"/>
      <c r="S65" s="37"/>
      <c r="T65" s="37"/>
      <c r="U65" s="37"/>
      <c r="V65" s="37"/>
      <c r="W65" s="37"/>
      <c r="X65" s="36" t="str">
        <f aca="false">IF($A65="","",TRIM($B$4&amp;" "&amp;$D$4))</f>
        <v/>
      </c>
      <c r="Y65" s="37"/>
      <c r="Z65" s="38"/>
      <c r="AA65" s="37"/>
      <c r="AB65" s="39" t="str">
        <f aca="false">IFERROR(IF(COUNTA($B65:$W65)+COUNTA($Y65:$AA65)=0,"",IF(A65="","① 条目ID未生成(先在顶栏填学号与编号)",IF(COUNTIF($A$8:$A$207,A65)&gt;1,"① 条目ID重复",IF(B65="","② 缺文件名称",IF(D65="","④ 缺位阶",IF(E65="","⑤ 缺制定区域",IF(NOT(ISNUMBER(H65)),"⑧ 施行日期须为日期格式 YYYY-MM-DD",IF(AND(I65&lt;&gt;"现行有效",I65&lt;&gt;"",J65=""),"⑩ 非现行有效须填失效/修订日期",IF(AND(ISNUMBER(J65),ISNUMBER(H65),J65&lt;=H65),"⑩ 失效日期须晚于施行日期",IF(K65="","⑪ 缺主题标签(主)",IF(AND(L65&lt;&gt;"",L65=K65),"⑫ 次标签不得与主标签相同",IF(AND(ISERROR(SEARCH("条",M65)),ISERROR(SEARCH("段",M65)),ISERROR(SEARCH("项",M65))),"⑬ 条文定位须到条/款/项或段",IF(OR(N65="",O65="",P65="",Q65=""),"⑭-⑰ 五要素未填全",IF(LEN(Q65)&gt;120,"⑰ 行为模式内容超120字,请再概括",IF(S65="","⑲ 缺原文摘录",IF(LEN(S65)&gt;200,"⑲ 原文摘录超200字,说明条文选得太大",IF(AND(E65="国家",U65=""),"㉑ 国家层须填央地权限配置",IF(AND(E65="国家",V65&lt;&gt;""),"㉒ 国家层不填地方自主权类型",IF(AND(E65&lt;&gt;"国家",V65=""),"㉒ 地方层须填地方自主权类型",IF(AND(E65&lt;&gt;"国家",U65&lt;&gt;""),"㉑ 地方层不填央地权限配置",IF(W65="","㉓ 缺核实来源",IF(X65="","㉔ 缺录入人",IF(Y65="","㉕ 缺版本号","✔ 通过基础校验"))))))))))))))))))))))),"⚠ 自检公式受损(勿用剪切移动单元格),请告知老师修复")</f>
        <v/>
      </c>
    </row>
    <row r="66" customFormat="false" ht="30" hidden="false" customHeight="true" outlineLevel="0" collapsed="false">
      <c r="A66" s="36" t="str">
        <f aca="false">IF($D$4="","",IF(COUNTA($B66:$W66)+COUNTA($Y66:$AA66)=0,"",$D$4&amp;"-"&amp;TEXT(ROW()-7,"000")))</f>
        <v/>
      </c>
      <c r="B66" s="37"/>
      <c r="C66" s="37"/>
      <c r="D66" s="37"/>
      <c r="E66" s="37"/>
      <c r="F66" s="37"/>
      <c r="G66" s="38"/>
      <c r="H66" s="38"/>
      <c r="I66" s="37"/>
      <c r="J66" s="38"/>
      <c r="K66" s="37"/>
      <c r="L66" s="37"/>
      <c r="M66" s="37"/>
      <c r="N66" s="37"/>
      <c r="O66" s="37"/>
      <c r="P66" s="37"/>
      <c r="Q66" s="37"/>
      <c r="R66" s="37"/>
      <c r="S66" s="37"/>
      <c r="T66" s="37"/>
      <c r="U66" s="37"/>
      <c r="V66" s="37"/>
      <c r="W66" s="37"/>
      <c r="X66" s="36" t="str">
        <f aca="false">IF($A66="","",TRIM($B$4&amp;" "&amp;$D$4))</f>
        <v/>
      </c>
      <c r="Y66" s="37"/>
      <c r="Z66" s="38"/>
      <c r="AA66" s="37"/>
      <c r="AB66" s="39" t="str">
        <f aca="false">IFERROR(IF(COUNTA($B66:$W66)+COUNTA($Y66:$AA66)=0,"",IF(A66="","① 条目ID未生成(先在顶栏填学号与编号)",IF(COUNTIF($A$8:$A$207,A66)&gt;1,"① 条目ID重复",IF(B66="","② 缺文件名称",IF(D66="","④ 缺位阶",IF(E66="","⑤ 缺制定区域",IF(NOT(ISNUMBER(H66)),"⑧ 施行日期须为日期格式 YYYY-MM-DD",IF(AND(I66&lt;&gt;"现行有效",I66&lt;&gt;"",J66=""),"⑩ 非现行有效须填失效/修订日期",IF(AND(ISNUMBER(J66),ISNUMBER(H66),J66&lt;=H66),"⑩ 失效日期须晚于施行日期",IF(K66="","⑪ 缺主题标签(主)",IF(AND(L66&lt;&gt;"",L66=K66),"⑫ 次标签不得与主标签相同",IF(AND(ISERROR(SEARCH("条",M66)),ISERROR(SEARCH("段",M66)),ISERROR(SEARCH("项",M66))),"⑬ 条文定位须到条/款/项或段",IF(OR(N66="",O66="",P66="",Q66=""),"⑭-⑰ 五要素未填全",IF(LEN(Q66)&gt;120,"⑰ 行为模式内容超120字,请再概括",IF(S66="","⑲ 缺原文摘录",IF(LEN(S66)&gt;200,"⑲ 原文摘录超200字,说明条文选得太大",IF(AND(E66="国家",U66=""),"㉑ 国家层须填央地权限配置",IF(AND(E66="国家",V66&lt;&gt;""),"㉒ 国家层不填地方自主权类型",IF(AND(E66&lt;&gt;"国家",V66=""),"㉒ 地方层须填地方自主权类型",IF(AND(E66&lt;&gt;"国家",U66&lt;&gt;""),"㉑ 地方层不填央地权限配置",IF(W66="","㉓ 缺核实来源",IF(X66="","㉔ 缺录入人",IF(Y66="","㉕ 缺版本号","✔ 通过基础校验"))))))))))))))))))))))),"⚠ 自检公式受损(勿用剪切移动单元格),请告知老师修复")</f>
        <v/>
      </c>
    </row>
    <row r="67" customFormat="false" ht="30" hidden="false" customHeight="true" outlineLevel="0" collapsed="false">
      <c r="A67" s="36" t="str">
        <f aca="false">IF($D$4="","",IF(COUNTA($B67:$W67)+COUNTA($Y67:$AA67)=0,"",$D$4&amp;"-"&amp;TEXT(ROW()-7,"000")))</f>
        <v/>
      </c>
      <c r="B67" s="37"/>
      <c r="C67" s="37"/>
      <c r="D67" s="37"/>
      <c r="E67" s="37"/>
      <c r="F67" s="37"/>
      <c r="G67" s="38"/>
      <c r="H67" s="38"/>
      <c r="I67" s="37"/>
      <c r="J67" s="38"/>
      <c r="K67" s="37"/>
      <c r="L67" s="37"/>
      <c r="M67" s="37"/>
      <c r="N67" s="37"/>
      <c r="O67" s="37"/>
      <c r="P67" s="37"/>
      <c r="Q67" s="37"/>
      <c r="R67" s="37"/>
      <c r="S67" s="37"/>
      <c r="T67" s="37"/>
      <c r="U67" s="37"/>
      <c r="V67" s="37"/>
      <c r="W67" s="37"/>
      <c r="X67" s="36" t="str">
        <f aca="false">IF($A67="","",TRIM($B$4&amp;" "&amp;$D$4))</f>
        <v/>
      </c>
      <c r="Y67" s="37"/>
      <c r="Z67" s="38"/>
      <c r="AA67" s="37"/>
      <c r="AB67" s="39" t="str">
        <f aca="false">IFERROR(IF(COUNTA($B67:$W67)+COUNTA($Y67:$AA67)=0,"",IF(A67="","① 条目ID未生成(先在顶栏填学号与编号)",IF(COUNTIF($A$8:$A$207,A67)&gt;1,"① 条目ID重复",IF(B67="","② 缺文件名称",IF(D67="","④ 缺位阶",IF(E67="","⑤ 缺制定区域",IF(NOT(ISNUMBER(H67)),"⑧ 施行日期须为日期格式 YYYY-MM-DD",IF(AND(I67&lt;&gt;"现行有效",I67&lt;&gt;"",J67=""),"⑩ 非现行有效须填失效/修订日期",IF(AND(ISNUMBER(J67),ISNUMBER(H67),J67&lt;=H67),"⑩ 失效日期须晚于施行日期",IF(K67="","⑪ 缺主题标签(主)",IF(AND(L67&lt;&gt;"",L67=K67),"⑫ 次标签不得与主标签相同",IF(AND(ISERROR(SEARCH("条",M67)),ISERROR(SEARCH("段",M67)),ISERROR(SEARCH("项",M67))),"⑬ 条文定位须到条/款/项或段",IF(OR(N67="",O67="",P67="",Q67=""),"⑭-⑰ 五要素未填全",IF(LEN(Q67)&gt;120,"⑰ 行为模式内容超120字,请再概括",IF(S67="","⑲ 缺原文摘录",IF(LEN(S67)&gt;200,"⑲ 原文摘录超200字,说明条文选得太大",IF(AND(E67="国家",U67=""),"㉑ 国家层须填央地权限配置",IF(AND(E67="国家",V67&lt;&gt;""),"㉒ 国家层不填地方自主权类型",IF(AND(E67&lt;&gt;"国家",V67=""),"㉒ 地方层须填地方自主权类型",IF(AND(E67&lt;&gt;"国家",U67&lt;&gt;""),"㉑ 地方层不填央地权限配置",IF(W67="","㉓ 缺核实来源",IF(X67="","㉔ 缺录入人",IF(Y67="","㉕ 缺版本号","✔ 通过基础校验"))))))))))))))))))))))),"⚠ 自检公式受损(勿用剪切移动单元格),请告知老师修复")</f>
        <v/>
      </c>
    </row>
    <row r="68" customFormat="false" ht="30" hidden="false" customHeight="true" outlineLevel="0" collapsed="false">
      <c r="A68" s="36" t="str">
        <f aca="false">IF($D$4="","",IF(COUNTA($B68:$W68)+COUNTA($Y68:$AA68)=0,"",$D$4&amp;"-"&amp;TEXT(ROW()-7,"000")))</f>
        <v/>
      </c>
      <c r="B68" s="37"/>
      <c r="C68" s="37"/>
      <c r="D68" s="37"/>
      <c r="E68" s="37"/>
      <c r="F68" s="37"/>
      <c r="G68" s="38"/>
      <c r="H68" s="38"/>
      <c r="I68" s="37"/>
      <c r="J68" s="38"/>
      <c r="K68" s="37"/>
      <c r="L68" s="37"/>
      <c r="M68" s="37"/>
      <c r="N68" s="37"/>
      <c r="O68" s="37"/>
      <c r="P68" s="37"/>
      <c r="Q68" s="37"/>
      <c r="R68" s="37"/>
      <c r="S68" s="37"/>
      <c r="T68" s="37"/>
      <c r="U68" s="37"/>
      <c r="V68" s="37"/>
      <c r="W68" s="37"/>
      <c r="X68" s="36" t="str">
        <f aca="false">IF($A68="","",TRIM($B$4&amp;" "&amp;$D$4))</f>
        <v/>
      </c>
      <c r="Y68" s="37"/>
      <c r="Z68" s="38"/>
      <c r="AA68" s="37"/>
      <c r="AB68" s="39" t="str">
        <f aca="false">IFERROR(IF(COUNTA($B68:$W68)+COUNTA($Y68:$AA68)=0,"",IF(A68="","① 条目ID未生成(先在顶栏填学号与编号)",IF(COUNTIF($A$8:$A$207,A68)&gt;1,"① 条目ID重复",IF(B68="","② 缺文件名称",IF(D68="","④ 缺位阶",IF(E68="","⑤ 缺制定区域",IF(NOT(ISNUMBER(H68)),"⑧ 施行日期须为日期格式 YYYY-MM-DD",IF(AND(I68&lt;&gt;"现行有效",I68&lt;&gt;"",J68=""),"⑩ 非现行有效须填失效/修订日期",IF(AND(ISNUMBER(J68),ISNUMBER(H68),J68&lt;=H68),"⑩ 失效日期须晚于施行日期",IF(K68="","⑪ 缺主题标签(主)",IF(AND(L68&lt;&gt;"",L68=K68),"⑫ 次标签不得与主标签相同",IF(AND(ISERROR(SEARCH("条",M68)),ISERROR(SEARCH("段",M68)),ISERROR(SEARCH("项",M68))),"⑬ 条文定位须到条/款/项或段",IF(OR(N68="",O68="",P68="",Q68=""),"⑭-⑰ 五要素未填全",IF(LEN(Q68)&gt;120,"⑰ 行为模式内容超120字,请再概括",IF(S68="","⑲ 缺原文摘录",IF(LEN(S68)&gt;200,"⑲ 原文摘录超200字,说明条文选得太大",IF(AND(E68="国家",U68=""),"㉑ 国家层须填央地权限配置",IF(AND(E68="国家",V68&lt;&gt;""),"㉒ 国家层不填地方自主权类型",IF(AND(E68&lt;&gt;"国家",V68=""),"㉒ 地方层须填地方自主权类型",IF(AND(E68&lt;&gt;"国家",U68&lt;&gt;""),"㉑ 地方层不填央地权限配置",IF(W68="","㉓ 缺核实来源",IF(X68="","㉔ 缺录入人",IF(Y68="","㉕ 缺版本号","✔ 通过基础校验"))))))))))))))))))))))),"⚠ 自检公式受损(勿用剪切移动单元格),请告知老师修复")</f>
        <v/>
      </c>
    </row>
    <row r="69" customFormat="false" ht="30" hidden="false" customHeight="true" outlineLevel="0" collapsed="false">
      <c r="A69" s="36" t="str">
        <f aca="false">IF($D$4="","",IF(COUNTA($B69:$W69)+COUNTA($Y69:$AA69)=0,"",$D$4&amp;"-"&amp;TEXT(ROW()-7,"000")))</f>
        <v/>
      </c>
      <c r="B69" s="37"/>
      <c r="C69" s="37"/>
      <c r="D69" s="37"/>
      <c r="E69" s="37"/>
      <c r="F69" s="37"/>
      <c r="G69" s="38"/>
      <c r="H69" s="38"/>
      <c r="I69" s="37"/>
      <c r="J69" s="38"/>
      <c r="K69" s="37"/>
      <c r="L69" s="37"/>
      <c r="M69" s="37"/>
      <c r="N69" s="37"/>
      <c r="O69" s="37"/>
      <c r="P69" s="37"/>
      <c r="Q69" s="37"/>
      <c r="R69" s="37"/>
      <c r="S69" s="37"/>
      <c r="T69" s="37"/>
      <c r="U69" s="37"/>
      <c r="V69" s="37"/>
      <c r="W69" s="37"/>
      <c r="X69" s="36" t="str">
        <f aca="false">IF($A69="","",TRIM($B$4&amp;" "&amp;$D$4))</f>
        <v/>
      </c>
      <c r="Y69" s="37"/>
      <c r="Z69" s="38"/>
      <c r="AA69" s="37"/>
      <c r="AB69" s="39" t="str">
        <f aca="false">IFERROR(IF(COUNTA($B69:$W69)+COUNTA($Y69:$AA69)=0,"",IF(A69="","① 条目ID未生成(先在顶栏填学号与编号)",IF(COUNTIF($A$8:$A$207,A69)&gt;1,"① 条目ID重复",IF(B69="","② 缺文件名称",IF(D69="","④ 缺位阶",IF(E69="","⑤ 缺制定区域",IF(NOT(ISNUMBER(H69)),"⑧ 施行日期须为日期格式 YYYY-MM-DD",IF(AND(I69&lt;&gt;"现行有效",I69&lt;&gt;"",J69=""),"⑩ 非现行有效须填失效/修订日期",IF(AND(ISNUMBER(J69),ISNUMBER(H69),J69&lt;=H69),"⑩ 失效日期须晚于施行日期",IF(K69="","⑪ 缺主题标签(主)",IF(AND(L69&lt;&gt;"",L69=K69),"⑫ 次标签不得与主标签相同",IF(AND(ISERROR(SEARCH("条",M69)),ISERROR(SEARCH("段",M69)),ISERROR(SEARCH("项",M69))),"⑬ 条文定位须到条/款/项或段",IF(OR(N69="",O69="",P69="",Q69=""),"⑭-⑰ 五要素未填全",IF(LEN(Q69)&gt;120,"⑰ 行为模式内容超120字,请再概括",IF(S69="","⑲ 缺原文摘录",IF(LEN(S69)&gt;200,"⑲ 原文摘录超200字,说明条文选得太大",IF(AND(E69="国家",U69=""),"㉑ 国家层须填央地权限配置",IF(AND(E69="国家",V69&lt;&gt;""),"㉒ 国家层不填地方自主权类型",IF(AND(E69&lt;&gt;"国家",V69=""),"㉒ 地方层须填地方自主权类型",IF(AND(E69&lt;&gt;"国家",U69&lt;&gt;""),"㉑ 地方层不填央地权限配置",IF(W69="","㉓ 缺核实来源",IF(X69="","㉔ 缺录入人",IF(Y69="","㉕ 缺版本号","✔ 通过基础校验"))))))))))))))))))))))),"⚠ 自检公式受损(勿用剪切移动单元格),请告知老师修复")</f>
        <v/>
      </c>
    </row>
    <row r="70" customFormat="false" ht="30" hidden="false" customHeight="true" outlineLevel="0" collapsed="false">
      <c r="A70" s="36" t="str">
        <f aca="false">IF($D$4="","",IF(COUNTA($B70:$W70)+COUNTA($Y70:$AA70)=0,"",$D$4&amp;"-"&amp;TEXT(ROW()-7,"000")))</f>
        <v/>
      </c>
      <c r="B70" s="37"/>
      <c r="C70" s="37"/>
      <c r="D70" s="37"/>
      <c r="E70" s="37"/>
      <c r="F70" s="37"/>
      <c r="G70" s="38"/>
      <c r="H70" s="38"/>
      <c r="I70" s="37"/>
      <c r="J70" s="38"/>
      <c r="K70" s="37"/>
      <c r="L70" s="37"/>
      <c r="M70" s="37"/>
      <c r="N70" s="37"/>
      <c r="O70" s="37"/>
      <c r="P70" s="37"/>
      <c r="Q70" s="37"/>
      <c r="R70" s="37"/>
      <c r="S70" s="37"/>
      <c r="T70" s="37"/>
      <c r="U70" s="37"/>
      <c r="V70" s="37"/>
      <c r="W70" s="37"/>
      <c r="X70" s="36" t="str">
        <f aca="false">IF($A70="","",TRIM($B$4&amp;" "&amp;$D$4))</f>
        <v/>
      </c>
      <c r="Y70" s="37"/>
      <c r="Z70" s="38"/>
      <c r="AA70" s="37"/>
      <c r="AB70" s="39" t="str">
        <f aca="false">IFERROR(IF(COUNTA($B70:$W70)+COUNTA($Y70:$AA70)=0,"",IF(A70="","① 条目ID未生成(先在顶栏填学号与编号)",IF(COUNTIF($A$8:$A$207,A70)&gt;1,"① 条目ID重复",IF(B70="","② 缺文件名称",IF(D70="","④ 缺位阶",IF(E70="","⑤ 缺制定区域",IF(NOT(ISNUMBER(H70)),"⑧ 施行日期须为日期格式 YYYY-MM-DD",IF(AND(I70&lt;&gt;"现行有效",I70&lt;&gt;"",J70=""),"⑩ 非现行有效须填失效/修订日期",IF(AND(ISNUMBER(J70),ISNUMBER(H70),J70&lt;=H70),"⑩ 失效日期须晚于施行日期",IF(K70="","⑪ 缺主题标签(主)",IF(AND(L70&lt;&gt;"",L70=K70),"⑫ 次标签不得与主标签相同",IF(AND(ISERROR(SEARCH("条",M70)),ISERROR(SEARCH("段",M70)),ISERROR(SEARCH("项",M70))),"⑬ 条文定位须到条/款/项或段",IF(OR(N70="",O70="",P70="",Q70=""),"⑭-⑰ 五要素未填全",IF(LEN(Q70)&gt;120,"⑰ 行为模式内容超120字,请再概括",IF(S70="","⑲ 缺原文摘录",IF(LEN(S70)&gt;200,"⑲ 原文摘录超200字,说明条文选得太大",IF(AND(E70="国家",U70=""),"㉑ 国家层须填央地权限配置",IF(AND(E70="国家",V70&lt;&gt;""),"㉒ 国家层不填地方自主权类型",IF(AND(E70&lt;&gt;"国家",V70=""),"㉒ 地方层须填地方自主权类型",IF(AND(E70&lt;&gt;"国家",U70&lt;&gt;""),"㉑ 地方层不填央地权限配置",IF(W70="","㉓ 缺核实来源",IF(X70="","㉔ 缺录入人",IF(Y70="","㉕ 缺版本号","✔ 通过基础校验"))))))))))))))))))))))),"⚠ 自检公式受损(勿用剪切移动单元格),请告知老师修复")</f>
        <v/>
      </c>
    </row>
    <row r="71" customFormat="false" ht="30" hidden="false" customHeight="true" outlineLevel="0" collapsed="false">
      <c r="A71" s="36" t="str">
        <f aca="false">IF($D$4="","",IF(COUNTA($B71:$W71)+COUNTA($Y71:$AA71)=0,"",$D$4&amp;"-"&amp;TEXT(ROW()-7,"000")))</f>
        <v/>
      </c>
      <c r="B71" s="37"/>
      <c r="C71" s="37"/>
      <c r="D71" s="37"/>
      <c r="E71" s="37"/>
      <c r="F71" s="37"/>
      <c r="G71" s="38"/>
      <c r="H71" s="38"/>
      <c r="I71" s="37"/>
      <c r="J71" s="38"/>
      <c r="K71" s="37"/>
      <c r="L71" s="37"/>
      <c r="M71" s="37"/>
      <c r="N71" s="37"/>
      <c r="O71" s="37"/>
      <c r="P71" s="37"/>
      <c r="Q71" s="37"/>
      <c r="R71" s="37"/>
      <c r="S71" s="37"/>
      <c r="T71" s="37"/>
      <c r="U71" s="37"/>
      <c r="V71" s="37"/>
      <c r="W71" s="37"/>
      <c r="X71" s="36" t="str">
        <f aca="false">IF($A71="","",TRIM($B$4&amp;" "&amp;$D$4))</f>
        <v/>
      </c>
      <c r="Y71" s="37"/>
      <c r="Z71" s="38"/>
      <c r="AA71" s="37"/>
      <c r="AB71" s="39" t="str">
        <f aca="false">IFERROR(IF(COUNTA($B71:$W71)+COUNTA($Y71:$AA71)=0,"",IF(A71="","① 条目ID未生成(先在顶栏填学号与编号)",IF(COUNTIF($A$8:$A$207,A71)&gt;1,"① 条目ID重复",IF(B71="","② 缺文件名称",IF(D71="","④ 缺位阶",IF(E71="","⑤ 缺制定区域",IF(NOT(ISNUMBER(H71)),"⑧ 施行日期须为日期格式 YYYY-MM-DD",IF(AND(I71&lt;&gt;"现行有效",I71&lt;&gt;"",J71=""),"⑩ 非现行有效须填失效/修订日期",IF(AND(ISNUMBER(J71),ISNUMBER(H71),J71&lt;=H71),"⑩ 失效日期须晚于施行日期",IF(K71="","⑪ 缺主题标签(主)",IF(AND(L71&lt;&gt;"",L71=K71),"⑫ 次标签不得与主标签相同",IF(AND(ISERROR(SEARCH("条",M71)),ISERROR(SEARCH("段",M71)),ISERROR(SEARCH("项",M71))),"⑬ 条文定位须到条/款/项或段",IF(OR(N71="",O71="",P71="",Q71=""),"⑭-⑰ 五要素未填全",IF(LEN(Q71)&gt;120,"⑰ 行为模式内容超120字,请再概括",IF(S71="","⑲ 缺原文摘录",IF(LEN(S71)&gt;200,"⑲ 原文摘录超200字,说明条文选得太大",IF(AND(E71="国家",U71=""),"㉑ 国家层须填央地权限配置",IF(AND(E71="国家",V71&lt;&gt;""),"㉒ 国家层不填地方自主权类型",IF(AND(E71&lt;&gt;"国家",V71=""),"㉒ 地方层须填地方自主权类型",IF(AND(E71&lt;&gt;"国家",U71&lt;&gt;""),"㉑ 地方层不填央地权限配置",IF(W71="","㉓ 缺核实来源",IF(X71="","㉔ 缺录入人",IF(Y71="","㉕ 缺版本号","✔ 通过基础校验"))))))))))))))))))))))),"⚠ 自检公式受损(勿用剪切移动单元格),请告知老师修复")</f>
        <v/>
      </c>
    </row>
    <row r="72" customFormat="false" ht="30" hidden="false" customHeight="true" outlineLevel="0" collapsed="false">
      <c r="A72" s="36" t="str">
        <f aca="false">IF($D$4="","",IF(COUNTA($B72:$W72)+COUNTA($Y72:$AA72)=0,"",$D$4&amp;"-"&amp;TEXT(ROW()-7,"000")))</f>
        <v/>
      </c>
      <c r="B72" s="37"/>
      <c r="C72" s="37"/>
      <c r="D72" s="37"/>
      <c r="E72" s="37"/>
      <c r="F72" s="37"/>
      <c r="G72" s="38"/>
      <c r="H72" s="38"/>
      <c r="I72" s="37"/>
      <c r="J72" s="38"/>
      <c r="K72" s="37"/>
      <c r="L72" s="37"/>
      <c r="M72" s="37"/>
      <c r="N72" s="37"/>
      <c r="O72" s="37"/>
      <c r="P72" s="37"/>
      <c r="Q72" s="37"/>
      <c r="R72" s="37"/>
      <c r="S72" s="37"/>
      <c r="T72" s="37"/>
      <c r="U72" s="37"/>
      <c r="V72" s="37"/>
      <c r="W72" s="37"/>
      <c r="X72" s="36" t="str">
        <f aca="false">IF($A72="","",TRIM($B$4&amp;" "&amp;$D$4))</f>
        <v/>
      </c>
      <c r="Y72" s="37"/>
      <c r="Z72" s="38"/>
      <c r="AA72" s="37"/>
      <c r="AB72" s="39" t="str">
        <f aca="false">IFERROR(IF(COUNTA($B72:$W72)+COUNTA($Y72:$AA72)=0,"",IF(A72="","① 条目ID未生成(先在顶栏填学号与编号)",IF(COUNTIF($A$8:$A$207,A72)&gt;1,"① 条目ID重复",IF(B72="","② 缺文件名称",IF(D72="","④ 缺位阶",IF(E72="","⑤ 缺制定区域",IF(NOT(ISNUMBER(H72)),"⑧ 施行日期须为日期格式 YYYY-MM-DD",IF(AND(I72&lt;&gt;"现行有效",I72&lt;&gt;"",J72=""),"⑩ 非现行有效须填失效/修订日期",IF(AND(ISNUMBER(J72),ISNUMBER(H72),J72&lt;=H72),"⑩ 失效日期须晚于施行日期",IF(K72="","⑪ 缺主题标签(主)",IF(AND(L72&lt;&gt;"",L72=K72),"⑫ 次标签不得与主标签相同",IF(AND(ISERROR(SEARCH("条",M72)),ISERROR(SEARCH("段",M72)),ISERROR(SEARCH("项",M72))),"⑬ 条文定位须到条/款/项或段",IF(OR(N72="",O72="",P72="",Q72=""),"⑭-⑰ 五要素未填全",IF(LEN(Q72)&gt;120,"⑰ 行为模式内容超120字,请再概括",IF(S72="","⑲ 缺原文摘录",IF(LEN(S72)&gt;200,"⑲ 原文摘录超200字,说明条文选得太大",IF(AND(E72="国家",U72=""),"㉑ 国家层须填央地权限配置",IF(AND(E72="国家",V72&lt;&gt;""),"㉒ 国家层不填地方自主权类型",IF(AND(E72&lt;&gt;"国家",V72=""),"㉒ 地方层须填地方自主权类型",IF(AND(E72&lt;&gt;"国家",U72&lt;&gt;""),"㉑ 地方层不填央地权限配置",IF(W72="","㉓ 缺核实来源",IF(X72="","㉔ 缺录入人",IF(Y72="","㉕ 缺版本号","✔ 通过基础校验"))))))))))))))))))))))),"⚠ 自检公式受损(勿用剪切移动单元格),请告知老师修复")</f>
        <v/>
      </c>
    </row>
    <row r="73" customFormat="false" ht="30" hidden="false" customHeight="true" outlineLevel="0" collapsed="false">
      <c r="A73" s="36" t="str">
        <f aca="false">IF($D$4="","",IF(COUNTA($B73:$W73)+COUNTA($Y73:$AA73)=0,"",$D$4&amp;"-"&amp;TEXT(ROW()-7,"000")))</f>
        <v/>
      </c>
      <c r="B73" s="37"/>
      <c r="C73" s="37"/>
      <c r="D73" s="37"/>
      <c r="E73" s="37"/>
      <c r="F73" s="37"/>
      <c r="G73" s="38"/>
      <c r="H73" s="38"/>
      <c r="I73" s="37"/>
      <c r="J73" s="38"/>
      <c r="K73" s="37"/>
      <c r="L73" s="37"/>
      <c r="M73" s="37"/>
      <c r="N73" s="37"/>
      <c r="O73" s="37"/>
      <c r="P73" s="37"/>
      <c r="Q73" s="37"/>
      <c r="R73" s="37"/>
      <c r="S73" s="37"/>
      <c r="T73" s="37"/>
      <c r="U73" s="37"/>
      <c r="V73" s="37"/>
      <c r="W73" s="37"/>
      <c r="X73" s="36" t="str">
        <f aca="false">IF($A73="","",TRIM($B$4&amp;" "&amp;$D$4))</f>
        <v/>
      </c>
      <c r="Y73" s="37"/>
      <c r="Z73" s="38"/>
      <c r="AA73" s="37"/>
      <c r="AB73" s="39" t="str">
        <f aca="false">IFERROR(IF(COUNTA($B73:$W73)+COUNTA($Y73:$AA73)=0,"",IF(A73="","① 条目ID未生成(先在顶栏填学号与编号)",IF(COUNTIF($A$8:$A$207,A73)&gt;1,"① 条目ID重复",IF(B73="","② 缺文件名称",IF(D73="","④ 缺位阶",IF(E73="","⑤ 缺制定区域",IF(NOT(ISNUMBER(H73)),"⑧ 施行日期须为日期格式 YYYY-MM-DD",IF(AND(I73&lt;&gt;"现行有效",I73&lt;&gt;"",J73=""),"⑩ 非现行有效须填失效/修订日期",IF(AND(ISNUMBER(J73),ISNUMBER(H73),J73&lt;=H73),"⑩ 失效日期须晚于施行日期",IF(K73="","⑪ 缺主题标签(主)",IF(AND(L73&lt;&gt;"",L73=K73),"⑫ 次标签不得与主标签相同",IF(AND(ISERROR(SEARCH("条",M73)),ISERROR(SEARCH("段",M73)),ISERROR(SEARCH("项",M73))),"⑬ 条文定位须到条/款/项或段",IF(OR(N73="",O73="",P73="",Q73=""),"⑭-⑰ 五要素未填全",IF(LEN(Q73)&gt;120,"⑰ 行为模式内容超120字,请再概括",IF(S73="","⑲ 缺原文摘录",IF(LEN(S73)&gt;200,"⑲ 原文摘录超200字,说明条文选得太大",IF(AND(E73="国家",U73=""),"㉑ 国家层须填央地权限配置",IF(AND(E73="国家",V73&lt;&gt;""),"㉒ 国家层不填地方自主权类型",IF(AND(E73&lt;&gt;"国家",V73=""),"㉒ 地方层须填地方自主权类型",IF(AND(E73&lt;&gt;"国家",U73&lt;&gt;""),"㉑ 地方层不填央地权限配置",IF(W73="","㉓ 缺核实来源",IF(X73="","㉔ 缺录入人",IF(Y73="","㉕ 缺版本号","✔ 通过基础校验"))))))))))))))))))))))),"⚠ 自检公式受损(勿用剪切移动单元格),请告知老师修复")</f>
        <v/>
      </c>
    </row>
    <row r="74" customFormat="false" ht="30" hidden="false" customHeight="true" outlineLevel="0" collapsed="false">
      <c r="A74" s="36" t="str">
        <f aca="false">IF($D$4="","",IF(COUNTA($B74:$W74)+COUNTA($Y74:$AA74)=0,"",$D$4&amp;"-"&amp;TEXT(ROW()-7,"000")))</f>
        <v/>
      </c>
      <c r="B74" s="37"/>
      <c r="C74" s="37"/>
      <c r="D74" s="37"/>
      <c r="E74" s="37"/>
      <c r="F74" s="37"/>
      <c r="G74" s="38"/>
      <c r="H74" s="38"/>
      <c r="I74" s="37"/>
      <c r="J74" s="38"/>
      <c r="K74" s="37"/>
      <c r="L74" s="37"/>
      <c r="M74" s="37"/>
      <c r="N74" s="37"/>
      <c r="O74" s="37"/>
      <c r="P74" s="37"/>
      <c r="Q74" s="37"/>
      <c r="R74" s="37"/>
      <c r="S74" s="37"/>
      <c r="T74" s="37"/>
      <c r="U74" s="37"/>
      <c r="V74" s="37"/>
      <c r="W74" s="37"/>
      <c r="X74" s="36" t="str">
        <f aca="false">IF($A74="","",TRIM($B$4&amp;" "&amp;$D$4))</f>
        <v/>
      </c>
      <c r="Y74" s="37"/>
      <c r="Z74" s="38"/>
      <c r="AA74" s="37"/>
      <c r="AB74" s="39" t="str">
        <f aca="false">IFERROR(IF(COUNTA($B74:$W74)+COUNTA($Y74:$AA74)=0,"",IF(A74="","① 条目ID未生成(先在顶栏填学号与编号)",IF(COUNTIF($A$8:$A$207,A74)&gt;1,"① 条目ID重复",IF(B74="","② 缺文件名称",IF(D74="","④ 缺位阶",IF(E74="","⑤ 缺制定区域",IF(NOT(ISNUMBER(H74)),"⑧ 施行日期须为日期格式 YYYY-MM-DD",IF(AND(I74&lt;&gt;"现行有效",I74&lt;&gt;"",J74=""),"⑩ 非现行有效须填失效/修订日期",IF(AND(ISNUMBER(J74),ISNUMBER(H74),J74&lt;=H74),"⑩ 失效日期须晚于施行日期",IF(K74="","⑪ 缺主题标签(主)",IF(AND(L74&lt;&gt;"",L74=K74),"⑫ 次标签不得与主标签相同",IF(AND(ISERROR(SEARCH("条",M74)),ISERROR(SEARCH("段",M74)),ISERROR(SEARCH("项",M74))),"⑬ 条文定位须到条/款/项或段",IF(OR(N74="",O74="",P74="",Q74=""),"⑭-⑰ 五要素未填全",IF(LEN(Q74)&gt;120,"⑰ 行为模式内容超120字,请再概括",IF(S74="","⑲ 缺原文摘录",IF(LEN(S74)&gt;200,"⑲ 原文摘录超200字,说明条文选得太大",IF(AND(E74="国家",U74=""),"㉑ 国家层须填央地权限配置",IF(AND(E74="国家",V74&lt;&gt;""),"㉒ 国家层不填地方自主权类型",IF(AND(E74&lt;&gt;"国家",V74=""),"㉒ 地方层须填地方自主权类型",IF(AND(E74&lt;&gt;"国家",U74&lt;&gt;""),"㉑ 地方层不填央地权限配置",IF(W74="","㉓ 缺核实来源",IF(X74="","㉔ 缺录入人",IF(Y74="","㉕ 缺版本号","✔ 通过基础校验"))))))))))))))))))))))),"⚠ 自检公式受损(勿用剪切移动单元格),请告知老师修复")</f>
        <v/>
      </c>
    </row>
    <row r="75" customFormat="false" ht="30" hidden="false" customHeight="true" outlineLevel="0" collapsed="false">
      <c r="A75" s="36" t="str">
        <f aca="false">IF($D$4="","",IF(COUNTA($B75:$W75)+COUNTA($Y75:$AA75)=0,"",$D$4&amp;"-"&amp;TEXT(ROW()-7,"000")))</f>
        <v/>
      </c>
      <c r="B75" s="37"/>
      <c r="C75" s="37"/>
      <c r="D75" s="37"/>
      <c r="E75" s="37"/>
      <c r="F75" s="37"/>
      <c r="G75" s="38"/>
      <c r="H75" s="38"/>
      <c r="I75" s="37"/>
      <c r="J75" s="38"/>
      <c r="K75" s="37"/>
      <c r="L75" s="37"/>
      <c r="M75" s="37"/>
      <c r="N75" s="37"/>
      <c r="O75" s="37"/>
      <c r="P75" s="37"/>
      <c r="Q75" s="37"/>
      <c r="R75" s="37"/>
      <c r="S75" s="37"/>
      <c r="T75" s="37"/>
      <c r="U75" s="37"/>
      <c r="V75" s="37"/>
      <c r="W75" s="37"/>
      <c r="X75" s="36" t="str">
        <f aca="false">IF($A75="","",TRIM($B$4&amp;" "&amp;$D$4))</f>
        <v/>
      </c>
      <c r="Y75" s="37"/>
      <c r="Z75" s="38"/>
      <c r="AA75" s="37"/>
      <c r="AB75" s="39" t="str">
        <f aca="false">IFERROR(IF(COUNTA($B75:$W75)+COUNTA($Y75:$AA75)=0,"",IF(A75="","① 条目ID未生成(先在顶栏填学号与编号)",IF(COUNTIF($A$8:$A$207,A75)&gt;1,"① 条目ID重复",IF(B75="","② 缺文件名称",IF(D75="","④ 缺位阶",IF(E75="","⑤ 缺制定区域",IF(NOT(ISNUMBER(H75)),"⑧ 施行日期须为日期格式 YYYY-MM-DD",IF(AND(I75&lt;&gt;"现行有效",I75&lt;&gt;"",J75=""),"⑩ 非现行有效须填失效/修订日期",IF(AND(ISNUMBER(J75),ISNUMBER(H75),J75&lt;=H75),"⑩ 失效日期须晚于施行日期",IF(K75="","⑪ 缺主题标签(主)",IF(AND(L75&lt;&gt;"",L75=K75),"⑫ 次标签不得与主标签相同",IF(AND(ISERROR(SEARCH("条",M75)),ISERROR(SEARCH("段",M75)),ISERROR(SEARCH("项",M75))),"⑬ 条文定位须到条/款/项或段",IF(OR(N75="",O75="",P75="",Q75=""),"⑭-⑰ 五要素未填全",IF(LEN(Q75)&gt;120,"⑰ 行为模式内容超120字,请再概括",IF(S75="","⑲ 缺原文摘录",IF(LEN(S75)&gt;200,"⑲ 原文摘录超200字,说明条文选得太大",IF(AND(E75="国家",U75=""),"㉑ 国家层须填央地权限配置",IF(AND(E75="国家",V75&lt;&gt;""),"㉒ 国家层不填地方自主权类型",IF(AND(E75&lt;&gt;"国家",V75=""),"㉒ 地方层须填地方自主权类型",IF(AND(E75&lt;&gt;"国家",U75&lt;&gt;""),"㉑ 地方层不填央地权限配置",IF(W75="","㉓ 缺核实来源",IF(X75="","㉔ 缺录入人",IF(Y75="","㉕ 缺版本号","✔ 通过基础校验"))))))))))))))))))))))),"⚠ 自检公式受损(勿用剪切移动单元格),请告知老师修复")</f>
        <v/>
      </c>
    </row>
    <row r="76" customFormat="false" ht="30" hidden="false" customHeight="true" outlineLevel="0" collapsed="false">
      <c r="A76" s="36" t="str">
        <f aca="false">IF($D$4="","",IF(COUNTA($B76:$W76)+COUNTA($Y76:$AA76)=0,"",$D$4&amp;"-"&amp;TEXT(ROW()-7,"000")))</f>
        <v/>
      </c>
      <c r="B76" s="37"/>
      <c r="C76" s="37"/>
      <c r="D76" s="37"/>
      <c r="E76" s="37"/>
      <c r="F76" s="37"/>
      <c r="G76" s="38"/>
      <c r="H76" s="38"/>
      <c r="I76" s="37"/>
      <c r="J76" s="38"/>
      <c r="K76" s="37"/>
      <c r="L76" s="37"/>
      <c r="M76" s="37"/>
      <c r="N76" s="37"/>
      <c r="O76" s="37"/>
      <c r="P76" s="37"/>
      <c r="Q76" s="37"/>
      <c r="R76" s="37"/>
      <c r="S76" s="37"/>
      <c r="T76" s="37"/>
      <c r="U76" s="37"/>
      <c r="V76" s="37"/>
      <c r="W76" s="37"/>
      <c r="X76" s="36" t="str">
        <f aca="false">IF($A76="","",TRIM($B$4&amp;" "&amp;$D$4))</f>
        <v/>
      </c>
      <c r="Y76" s="37"/>
      <c r="Z76" s="38"/>
      <c r="AA76" s="37"/>
      <c r="AB76" s="39" t="str">
        <f aca="false">IFERROR(IF(COUNTA($B76:$W76)+COUNTA($Y76:$AA76)=0,"",IF(A76="","① 条目ID未生成(先在顶栏填学号与编号)",IF(COUNTIF($A$8:$A$207,A76)&gt;1,"① 条目ID重复",IF(B76="","② 缺文件名称",IF(D76="","④ 缺位阶",IF(E76="","⑤ 缺制定区域",IF(NOT(ISNUMBER(H76)),"⑧ 施行日期须为日期格式 YYYY-MM-DD",IF(AND(I76&lt;&gt;"现行有效",I76&lt;&gt;"",J76=""),"⑩ 非现行有效须填失效/修订日期",IF(AND(ISNUMBER(J76),ISNUMBER(H76),J76&lt;=H76),"⑩ 失效日期须晚于施行日期",IF(K76="","⑪ 缺主题标签(主)",IF(AND(L76&lt;&gt;"",L76=K76),"⑫ 次标签不得与主标签相同",IF(AND(ISERROR(SEARCH("条",M76)),ISERROR(SEARCH("段",M76)),ISERROR(SEARCH("项",M76))),"⑬ 条文定位须到条/款/项或段",IF(OR(N76="",O76="",P76="",Q76=""),"⑭-⑰ 五要素未填全",IF(LEN(Q76)&gt;120,"⑰ 行为模式内容超120字,请再概括",IF(S76="","⑲ 缺原文摘录",IF(LEN(S76)&gt;200,"⑲ 原文摘录超200字,说明条文选得太大",IF(AND(E76="国家",U76=""),"㉑ 国家层须填央地权限配置",IF(AND(E76="国家",V76&lt;&gt;""),"㉒ 国家层不填地方自主权类型",IF(AND(E76&lt;&gt;"国家",V76=""),"㉒ 地方层须填地方自主权类型",IF(AND(E76&lt;&gt;"国家",U76&lt;&gt;""),"㉑ 地方层不填央地权限配置",IF(W76="","㉓ 缺核实来源",IF(X76="","㉔ 缺录入人",IF(Y76="","㉕ 缺版本号","✔ 通过基础校验"))))))))))))))))))))))),"⚠ 自检公式受损(勿用剪切移动单元格),请告知老师修复")</f>
        <v/>
      </c>
    </row>
    <row r="77" customFormat="false" ht="30" hidden="false" customHeight="true" outlineLevel="0" collapsed="false">
      <c r="A77" s="36" t="str">
        <f aca="false">IF($D$4="","",IF(COUNTA($B77:$W77)+COUNTA($Y77:$AA77)=0,"",$D$4&amp;"-"&amp;TEXT(ROW()-7,"000")))</f>
        <v/>
      </c>
      <c r="B77" s="37"/>
      <c r="C77" s="37"/>
      <c r="D77" s="37"/>
      <c r="E77" s="37"/>
      <c r="F77" s="37"/>
      <c r="G77" s="38"/>
      <c r="H77" s="38"/>
      <c r="I77" s="37"/>
      <c r="J77" s="38"/>
      <c r="K77" s="37"/>
      <c r="L77" s="37"/>
      <c r="M77" s="37"/>
      <c r="N77" s="37"/>
      <c r="O77" s="37"/>
      <c r="P77" s="37"/>
      <c r="Q77" s="37"/>
      <c r="R77" s="37"/>
      <c r="S77" s="37"/>
      <c r="T77" s="37"/>
      <c r="U77" s="37"/>
      <c r="V77" s="37"/>
      <c r="W77" s="37"/>
      <c r="X77" s="36" t="str">
        <f aca="false">IF($A77="","",TRIM($B$4&amp;" "&amp;$D$4))</f>
        <v/>
      </c>
      <c r="Y77" s="37"/>
      <c r="Z77" s="38"/>
      <c r="AA77" s="37"/>
      <c r="AB77" s="39" t="str">
        <f aca="false">IFERROR(IF(COUNTA($B77:$W77)+COUNTA($Y77:$AA77)=0,"",IF(A77="","① 条目ID未生成(先在顶栏填学号与编号)",IF(COUNTIF($A$8:$A$207,A77)&gt;1,"① 条目ID重复",IF(B77="","② 缺文件名称",IF(D77="","④ 缺位阶",IF(E77="","⑤ 缺制定区域",IF(NOT(ISNUMBER(H77)),"⑧ 施行日期须为日期格式 YYYY-MM-DD",IF(AND(I77&lt;&gt;"现行有效",I77&lt;&gt;"",J77=""),"⑩ 非现行有效须填失效/修订日期",IF(AND(ISNUMBER(J77),ISNUMBER(H77),J77&lt;=H77),"⑩ 失效日期须晚于施行日期",IF(K77="","⑪ 缺主题标签(主)",IF(AND(L77&lt;&gt;"",L77=K77),"⑫ 次标签不得与主标签相同",IF(AND(ISERROR(SEARCH("条",M77)),ISERROR(SEARCH("段",M77)),ISERROR(SEARCH("项",M77))),"⑬ 条文定位须到条/款/项或段",IF(OR(N77="",O77="",P77="",Q77=""),"⑭-⑰ 五要素未填全",IF(LEN(Q77)&gt;120,"⑰ 行为模式内容超120字,请再概括",IF(S77="","⑲ 缺原文摘录",IF(LEN(S77)&gt;200,"⑲ 原文摘录超200字,说明条文选得太大",IF(AND(E77="国家",U77=""),"㉑ 国家层须填央地权限配置",IF(AND(E77="国家",V77&lt;&gt;""),"㉒ 国家层不填地方自主权类型",IF(AND(E77&lt;&gt;"国家",V77=""),"㉒ 地方层须填地方自主权类型",IF(AND(E77&lt;&gt;"国家",U77&lt;&gt;""),"㉑ 地方层不填央地权限配置",IF(W77="","㉓ 缺核实来源",IF(X77="","㉔ 缺录入人",IF(Y77="","㉕ 缺版本号","✔ 通过基础校验"))))))))))))))))))))))),"⚠ 自检公式受损(勿用剪切移动单元格),请告知老师修复")</f>
        <v/>
      </c>
    </row>
    <row r="78" customFormat="false" ht="30" hidden="false" customHeight="true" outlineLevel="0" collapsed="false">
      <c r="A78" s="36" t="str">
        <f aca="false">IF($D$4="","",IF(COUNTA($B78:$W78)+COUNTA($Y78:$AA78)=0,"",$D$4&amp;"-"&amp;TEXT(ROW()-7,"000")))</f>
        <v/>
      </c>
      <c r="B78" s="37"/>
      <c r="C78" s="37"/>
      <c r="D78" s="37"/>
      <c r="E78" s="37"/>
      <c r="F78" s="37"/>
      <c r="G78" s="38"/>
      <c r="H78" s="38"/>
      <c r="I78" s="37"/>
      <c r="J78" s="38"/>
      <c r="K78" s="37"/>
      <c r="L78" s="37"/>
      <c r="M78" s="37"/>
      <c r="N78" s="37"/>
      <c r="O78" s="37"/>
      <c r="P78" s="37"/>
      <c r="Q78" s="37"/>
      <c r="R78" s="37"/>
      <c r="S78" s="37"/>
      <c r="T78" s="37"/>
      <c r="U78" s="37"/>
      <c r="V78" s="37"/>
      <c r="W78" s="37"/>
      <c r="X78" s="36" t="str">
        <f aca="false">IF($A78="","",TRIM($B$4&amp;" "&amp;$D$4))</f>
        <v/>
      </c>
      <c r="Y78" s="37"/>
      <c r="Z78" s="38"/>
      <c r="AA78" s="37"/>
      <c r="AB78" s="39" t="str">
        <f aca="false">IFERROR(IF(COUNTA($B78:$W78)+COUNTA($Y78:$AA78)=0,"",IF(A78="","① 条目ID未生成(先在顶栏填学号与编号)",IF(COUNTIF($A$8:$A$207,A78)&gt;1,"① 条目ID重复",IF(B78="","② 缺文件名称",IF(D78="","④ 缺位阶",IF(E78="","⑤ 缺制定区域",IF(NOT(ISNUMBER(H78)),"⑧ 施行日期须为日期格式 YYYY-MM-DD",IF(AND(I78&lt;&gt;"现行有效",I78&lt;&gt;"",J78=""),"⑩ 非现行有效须填失效/修订日期",IF(AND(ISNUMBER(J78),ISNUMBER(H78),J78&lt;=H78),"⑩ 失效日期须晚于施行日期",IF(K78="","⑪ 缺主题标签(主)",IF(AND(L78&lt;&gt;"",L78=K78),"⑫ 次标签不得与主标签相同",IF(AND(ISERROR(SEARCH("条",M78)),ISERROR(SEARCH("段",M78)),ISERROR(SEARCH("项",M78))),"⑬ 条文定位须到条/款/项或段",IF(OR(N78="",O78="",P78="",Q78=""),"⑭-⑰ 五要素未填全",IF(LEN(Q78)&gt;120,"⑰ 行为模式内容超120字,请再概括",IF(S78="","⑲ 缺原文摘录",IF(LEN(S78)&gt;200,"⑲ 原文摘录超200字,说明条文选得太大",IF(AND(E78="国家",U78=""),"㉑ 国家层须填央地权限配置",IF(AND(E78="国家",V78&lt;&gt;""),"㉒ 国家层不填地方自主权类型",IF(AND(E78&lt;&gt;"国家",V78=""),"㉒ 地方层须填地方自主权类型",IF(AND(E78&lt;&gt;"国家",U78&lt;&gt;""),"㉑ 地方层不填央地权限配置",IF(W78="","㉓ 缺核实来源",IF(X78="","㉔ 缺录入人",IF(Y78="","㉕ 缺版本号","✔ 通过基础校验"))))))))))))))))))))))),"⚠ 自检公式受损(勿用剪切移动单元格),请告知老师修复")</f>
        <v/>
      </c>
    </row>
    <row r="79" customFormat="false" ht="30" hidden="false" customHeight="true" outlineLevel="0" collapsed="false">
      <c r="A79" s="36" t="str">
        <f aca="false">IF($D$4="","",IF(COUNTA($B79:$W79)+COUNTA($Y79:$AA79)=0,"",$D$4&amp;"-"&amp;TEXT(ROW()-7,"000")))</f>
        <v/>
      </c>
      <c r="B79" s="37"/>
      <c r="C79" s="37"/>
      <c r="D79" s="37"/>
      <c r="E79" s="37"/>
      <c r="F79" s="37"/>
      <c r="G79" s="38"/>
      <c r="H79" s="38"/>
      <c r="I79" s="37"/>
      <c r="J79" s="38"/>
      <c r="K79" s="37"/>
      <c r="L79" s="37"/>
      <c r="M79" s="37"/>
      <c r="N79" s="37"/>
      <c r="O79" s="37"/>
      <c r="P79" s="37"/>
      <c r="Q79" s="37"/>
      <c r="R79" s="37"/>
      <c r="S79" s="37"/>
      <c r="T79" s="37"/>
      <c r="U79" s="37"/>
      <c r="V79" s="37"/>
      <c r="W79" s="37"/>
      <c r="X79" s="36" t="str">
        <f aca="false">IF($A79="","",TRIM($B$4&amp;" "&amp;$D$4))</f>
        <v/>
      </c>
      <c r="Y79" s="37"/>
      <c r="Z79" s="38"/>
      <c r="AA79" s="37"/>
      <c r="AB79" s="39" t="str">
        <f aca="false">IFERROR(IF(COUNTA($B79:$W79)+COUNTA($Y79:$AA79)=0,"",IF(A79="","① 条目ID未生成(先在顶栏填学号与编号)",IF(COUNTIF($A$8:$A$207,A79)&gt;1,"① 条目ID重复",IF(B79="","② 缺文件名称",IF(D79="","④ 缺位阶",IF(E79="","⑤ 缺制定区域",IF(NOT(ISNUMBER(H79)),"⑧ 施行日期须为日期格式 YYYY-MM-DD",IF(AND(I79&lt;&gt;"现行有效",I79&lt;&gt;"",J79=""),"⑩ 非现行有效须填失效/修订日期",IF(AND(ISNUMBER(J79),ISNUMBER(H79),J79&lt;=H79),"⑩ 失效日期须晚于施行日期",IF(K79="","⑪ 缺主题标签(主)",IF(AND(L79&lt;&gt;"",L79=K79),"⑫ 次标签不得与主标签相同",IF(AND(ISERROR(SEARCH("条",M79)),ISERROR(SEARCH("段",M79)),ISERROR(SEARCH("项",M79))),"⑬ 条文定位须到条/款/项或段",IF(OR(N79="",O79="",P79="",Q79=""),"⑭-⑰ 五要素未填全",IF(LEN(Q79)&gt;120,"⑰ 行为模式内容超120字,请再概括",IF(S79="","⑲ 缺原文摘录",IF(LEN(S79)&gt;200,"⑲ 原文摘录超200字,说明条文选得太大",IF(AND(E79="国家",U79=""),"㉑ 国家层须填央地权限配置",IF(AND(E79="国家",V79&lt;&gt;""),"㉒ 国家层不填地方自主权类型",IF(AND(E79&lt;&gt;"国家",V79=""),"㉒ 地方层须填地方自主权类型",IF(AND(E79&lt;&gt;"国家",U79&lt;&gt;""),"㉑ 地方层不填央地权限配置",IF(W79="","㉓ 缺核实来源",IF(X79="","㉔ 缺录入人",IF(Y79="","㉕ 缺版本号","✔ 通过基础校验"))))))))))))))))))))))),"⚠ 自检公式受损(勿用剪切移动单元格),请告知老师修复")</f>
        <v/>
      </c>
    </row>
    <row r="80" customFormat="false" ht="30" hidden="false" customHeight="true" outlineLevel="0" collapsed="false">
      <c r="A80" s="36" t="str">
        <f aca="false">IF($D$4="","",IF(COUNTA($B80:$W80)+COUNTA($Y80:$AA80)=0,"",$D$4&amp;"-"&amp;TEXT(ROW()-7,"000")))</f>
        <v/>
      </c>
      <c r="B80" s="37"/>
      <c r="C80" s="37"/>
      <c r="D80" s="37"/>
      <c r="E80" s="37"/>
      <c r="F80" s="37"/>
      <c r="G80" s="38"/>
      <c r="H80" s="38"/>
      <c r="I80" s="37"/>
      <c r="J80" s="38"/>
      <c r="K80" s="37"/>
      <c r="L80" s="37"/>
      <c r="M80" s="37"/>
      <c r="N80" s="37"/>
      <c r="O80" s="37"/>
      <c r="P80" s="37"/>
      <c r="Q80" s="37"/>
      <c r="R80" s="37"/>
      <c r="S80" s="37"/>
      <c r="T80" s="37"/>
      <c r="U80" s="37"/>
      <c r="V80" s="37"/>
      <c r="W80" s="37"/>
      <c r="X80" s="36" t="str">
        <f aca="false">IF($A80="","",TRIM($B$4&amp;" "&amp;$D$4))</f>
        <v/>
      </c>
      <c r="Y80" s="37"/>
      <c r="Z80" s="38"/>
      <c r="AA80" s="37"/>
      <c r="AB80" s="39" t="str">
        <f aca="false">IFERROR(IF(COUNTA($B80:$W80)+COUNTA($Y80:$AA80)=0,"",IF(A80="","① 条目ID未生成(先在顶栏填学号与编号)",IF(COUNTIF($A$8:$A$207,A80)&gt;1,"① 条目ID重复",IF(B80="","② 缺文件名称",IF(D80="","④ 缺位阶",IF(E80="","⑤ 缺制定区域",IF(NOT(ISNUMBER(H80)),"⑧ 施行日期须为日期格式 YYYY-MM-DD",IF(AND(I80&lt;&gt;"现行有效",I80&lt;&gt;"",J80=""),"⑩ 非现行有效须填失效/修订日期",IF(AND(ISNUMBER(J80),ISNUMBER(H80),J80&lt;=H80),"⑩ 失效日期须晚于施行日期",IF(K80="","⑪ 缺主题标签(主)",IF(AND(L80&lt;&gt;"",L80=K80),"⑫ 次标签不得与主标签相同",IF(AND(ISERROR(SEARCH("条",M80)),ISERROR(SEARCH("段",M80)),ISERROR(SEARCH("项",M80))),"⑬ 条文定位须到条/款/项或段",IF(OR(N80="",O80="",P80="",Q80=""),"⑭-⑰ 五要素未填全",IF(LEN(Q80)&gt;120,"⑰ 行为模式内容超120字,请再概括",IF(S80="","⑲ 缺原文摘录",IF(LEN(S80)&gt;200,"⑲ 原文摘录超200字,说明条文选得太大",IF(AND(E80="国家",U80=""),"㉑ 国家层须填央地权限配置",IF(AND(E80="国家",V80&lt;&gt;""),"㉒ 国家层不填地方自主权类型",IF(AND(E80&lt;&gt;"国家",V80=""),"㉒ 地方层须填地方自主权类型",IF(AND(E80&lt;&gt;"国家",U80&lt;&gt;""),"㉑ 地方层不填央地权限配置",IF(W80="","㉓ 缺核实来源",IF(X80="","㉔ 缺录入人",IF(Y80="","㉕ 缺版本号","✔ 通过基础校验"))))))))))))))))))))))),"⚠ 自检公式受损(勿用剪切移动单元格),请告知老师修复")</f>
        <v/>
      </c>
    </row>
    <row r="81" customFormat="false" ht="30" hidden="false" customHeight="true" outlineLevel="0" collapsed="false">
      <c r="A81" s="36" t="str">
        <f aca="false">IF($D$4="","",IF(COUNTA($B81:$W81)+COUNTA($Y81:$AA81)=0,"",$D$4&amp;"-"&amp;TEXT(ROW()-7,"000")))</f>
        <v/>
      </c>
      <c r="B81" s="37"/>
      <c r="C81" s="37"/>
      <c r="D81" s="37"/>
      <c r="E81" s="37"/>
      <c r="F81" s="37"/>
      <c r="G81" s="38"/>
      <c r="H81" s="38"/>
      <c r="I81" s="37"/>
      <c r="J81" s="38"/>
      <c r="K81" s="37"/>
      <c r="L81" s="37"/>
      <c r="M81" s="37"/>
      <c r="N81" s="37"/>
      <c r="O81" s="37"/>
      <c r="P81" s="37"/>
      <c r="Q81" s="37"/>
      <c r="R81" s="37"/>
      <c r="S81" s="37"/>
      <c r="T81" s="37"/>
      <c r="U81" s="37"/>
      <c r="V81" s="37"/>
      <c r="W81" s="37"/>
      <c r="X81" s="36" t="str">
        <f aca="false">IF($A81="","",TRIM($B$4&amp;" "&amp;$D$4))</f>
        <v/>
      </c>
      <c r="Y81" s="37"/>
      <c r="Z81" s="38"/>
      <c r="AA81" s="37"/>
      <c r="AB81" s="39" t="str">
        <f aca="false">IFERROR(IF(COUNTA($B81:$W81)+COUNTA($Y81:$AA81)=0,"",IF(A81="","① 条目ID未生成(先在顶栏填学号与编号)",IF(COUNTIF($A$8:$A$207,A81)&gt;1,"① 条目ID重复",IF(B81="","② 缺文件名称",IF(D81="","④ 缺位阶",IF(E81="","⑤ 缺制定区域",IF(NOT(ISNUMBER(H81)),"⑧ 施行日期须为日期格式 YYYY-MM-DD",IF(AND(I81&lt;&gt;"现行有效",I81&lt;&gt;"",J81=""),"⑩ 非现行有效须填失效/修订日期",IF(AND(ISNUMBER(J81),ISNUMBER(H81),J81&lt;=H81),"⑩ 失效日期须晚于施行日期",IF(K81="","⑪ 缺主题标签(主)",IF(AND(L81&lt;&gt;"",L81=K81),"⑫ 次标签不得与主标签相同",IF(AND(ISERROR(SEARCH("条",M81)),ISERROR(SEARCH("段",M81)),ISERROR(SEARCH("项",M81))),"⑬ 条文定位须到条/款/项或段",IF(OR(N81="",O81="",P81="",Q81=""),"⑭-⑰ 五要素未填全",IF(LEN(Q81)&gt;120,"⑰ 行为模式内容超120字,请再概括",IF(S81="","⑲ 缺原文摘录",IF(LEN(S81)&gt;200,"⑲ 原文摘录超200字,说明条文选得太大",IF(AND(E81="国家",U81=""),"㉑ 国家层须填央地权限配置",IF(AND(E81="国家",V81&lt;&gt;""),"㉒ 国家层不填地方自主权类型",IF(AND(E81&lt;&gt;"国家",V81=""),"㉒ 地方层须填地方自主权类型",IF(AND(E81&lt;&gt;"国家",U81&lt;&gt;""),"㉑ 地方层不填央地权限配置",IF(W81="","㉓ 缺核实来源",IF(X81="","㉔ 缺录入人",IF(Y81="","㉕ 缺版本号","✔ 通过基础校验"))))))))))))))))))))))),"⚠ 自检公式受损(勿用剪切移动单元格),请告知老师修复")</f>
        <v/>
      </c>
    </row>
    <row r="82" customFormat="false" ht="30" hidden="false" customHeight="true" outlineLevel="0" collapsed="false">
      <c r="A82" s="36" t="str">
        <f aca="false">IF($D$4="","",IF(COUNTA($B82:$W82)+COUNTA($Y82:$AA82)=0,"",$D$4&amp;"-"&amp;TEXT(ROW()-7,"000")))</f>
        <v/>
      </c>
      <c r="B82" s="37"/>
      <c r="C82" s="37"/>
      <c r="D82" s="37"/>
      <c r="E82" s="37"/>
      <c r="F82" s="37"/>
      <c r="G82" s="38"/>
      <c r="H82" s="38"/>
      <c r="I82" s="37"/>
      <c r="J82" s="38"/>
      <c r="K82" s="37"/>
      <c r="L82" s="37"/>
      <c r="M82" s="37"/>
      <c r="N82" s="37"/>
      <c r="O82" s="37"/>
      <c r="P82" s="37"/>
      <c r="Q82" s="37"/>
      <c r="R82" s="37"/>
      <c r="S82" s="37"/>
      <c r="T82" s="37"/>
      <c r="U82" s="37"/>
      <c r="V82" s="37"/>
      <c r="W82" s="37"/>
      <c r="X82" s="36" t="str">
        <f aca="false">IF($A82="","",TRIM($B$4&amp;" "&amp;$D$4))</f>
        <v/>
      </c>
      <c r="Y82" s="37"/>
      <c r="Z82" s="38"/>
      <c r="AA82" s="37"/>
      <c r="AB82" s="39" t="str">
        <f aca="false">IFERROR(IF(COUNTA($B82:$W82)+COUNTA($Y82:$AA82)=0,"",IF(A82="","① 条目ID未生成(先在顶栏填学号与编号)",IF(COUNTIF($A$8:$A$207,A82)&gt;1,"① 条目ID重复",IF(B82="","② 缺文件名称",IF(D82="","④ 缺位阶",IF(E82="","⑤ 缺制定区域",IF(NOT(ISNUMBER(H82)),"⑧ 施行日期须为日期格式 YYYY-MM-DD",IF(AND(I82&lt;&gt;"现行有效",I82&lt;&gt;"",J82=""),"⑩ 非现行有效须填失效/修订日期",IF(AND(ISNUMBER(J82),ISNUMBER(H82),J82&lt;=H82),"⑩ 失效日期须晚于施行日期",IF(K82="","⑪ 缺主题标签(主)",IF(AND(L82&lt;&gt;"",L82=K82),"⑫ 次标签不得与主标签相同",IF(AND(ISERROR(SEARCH("条",M82)),ISERROR(SEARCH("段",M82)),ISERROR(SEARCH("项",M82))),"⑬ 条文定位须到条/款/项或段",IF(OR(N82="",O82="",P82="",Q82=""),"⑭-⑰ 五要素未填全",IF(LEN(Q82)&gt;120,"⑰ 行为模式内容超120字,请再概括",IF(S82="","⑲ 缺原文摘录",IF(LEN(S82)&gt;200,"⑲ 原文摘录超200字,说明条文选得太大",IF(AND(E82="国家",U82=""),"㉑ 国家层须填央地权限配置",IF(AND(E82="国家",V82&lt;&gt;""),"㉒ 国家层不填地方自主权类型",IF(AND(E82&lt;&gt;"国家",V82=""),"㉒ 地方层须填地方自主权类型",IF(AND(E82&lt;&gt;"国家",U82&lt;&gt;""),"㉑ 地方层不填央地权限配置",IF(W82="","㉓ 缺核实来源",IF(X82="","㉔ 缺录入人",IF(Y82="","㉕ 缺版本号","✔ 通过基础校验"))))))))))))))))))))))),"⚠ 自检公式受损(勿用剪切移动单元格),请告知老师修复")</f>
        <v/>
      </c>
    </row>
    <row r="83" customFormat="false" ht="30" hidden="false" customHeight="true" outlineLevel="0" collapsed="false">
      <c r="A83" s="36" t="str">
        <f aca="false">IF($D$4="","",IF(COUNTA($B83:$W83)+COUNTA($Y83:$AA83)=0,"",$D$4&amp;"-"&amp;TEXT(ROW()-7,"000")))</f>
        <v/>
      </c>
      <c r="B83" s="37"/>
      <c r="C83" s="37"/>
      <c r="D83" s="37"/>
      <c r="E83" s="37"/>
      <c r="F83" s="37"/>
      <c r="G83" s="38"/>
      <c r="H83" s="38"/>
      <c r="I83" s="37"/>
      <c r="J83" s="38"/>
      <c r="K83" s="37"/>
      <c r="L83" s="37"/>
      <c r="M83" s="37"/>
      <c r="N83" s="37"/>
      <c r="O83" s="37"/>
      <c r="P83" s="37"/>
      <c r="Q83" s="37"/>
      <c r="R83" s="37"/>
      <c r="S83" s="37"/>
      <c r="T83" s="37"/>
      <c r="U83" s="37"/>
      <c r="V83" s="37"/>
      <c r="W83" s="37"/>
      <c r="X83" s="36" t="str">
        <f aca="false">IF($A83="","",TRIM($B$4&amp;" "&amp;$D$4))</f>
        <v/>
      </c>
      <c r="Y83" s="37"/>
      <c r="Z83" s="38"/>
      <c r="AA83" s="37"/>
      <c r="AB83" s="39" t="str">
        <f aca="false">IFERROR(IF(COUNTA($B83:$W83)+COUNTA($Y83:$AA83)=0,"",IF(A83="","① 条目ID未生成(先在顶栏填学号与编号)",IF(COUNTIF($A$8:$A$207,A83)&gt;1,"① 条目ID重复",IF(B83="","② 缺文件名称",IF(D83="","④ 缺位阶",IF(E83="","⑤ 缺制定区域",IF(NOT(ISNUMBER(H83)),"⑧ 施行日期须为日期格式 YYYY-MM-DD",IF(AND(I83&lt;&gt;"现行有效",I83&lt;&gt;"",J83=""),"⑩ 非现行有效须填失效/修订日期",IF(AND(ISNUMBER(J83),ISNUMBER(H83),J83&lt;=H83),"⑩ 失效日期须晚于施行日期",IF(K83="","⑪ 缺主题标签(主)",IF(AND(L83&lt;&gt;"",L83=K83),"⑫ 次标签不得与主标签相同",IF(AND(ISERROR(SEARCH("条",M83)),ISERROR(SEARCH("段",M83)),ISERROR(SEARCH("项",M83))),"⑬ 条文定位须到条/款/项或段",IF(OR(N83="",O83="",P83="",Q83=""),"⑭-⑰ 五要素未填全",IF(LEN(Q83)&gt;120,"⑰ 行为模式内容超120字,请再概括",IF(S83="","⑲ 缺原文摘录",IF(LEN(S83)&gt;200,"⑲ 原文摘录超200字,说明条文选得太大",IF(AND(E83="国家",U83=""),"㉑ 国家层须填央地权限配置",IF(AND(E83="国家",V83&lt;&gt;""),"㉒ 国家层不填地方自主权类型",IF(AND(E83&lt;&gt;"国家",V83=""),"㉒ 地方层须填地方自主权类型",IF(AND(E83&lt;&gt;"国家",U83&lt;&gt;""),"㉑ 地方层不填央地权限配置",IF(W83="","㉓ 缺核实来源",IF(X83="","㉔ 缺录入人",IF(Y83="","㉕ 缺版本号","✔ 通过基础校验"))))))))))))))))))))))),"⚠ 自检公式受损(勿用剪切移动单元格),请告知老师修复")</f>
        <v/>
      </c>
    </row>
    <row r="84" customFormat="false" ht="30" hidden="false" customHeight="true" outlineLevel="0" collapsed="false">
      <c r="A84" s="36" t="str">
        <f aca="false">IF($D$4="","",IF(COUNTA($B84:$W84)+COUNTA($Y84:$AA84)=0,"",$D$4&amp;"-"&amp;TEXT(ROW()-7,"000")))</f>
        <v/>
      </c>
      <c r="B84" s="37"/>
      <c r="C84" s="37"/>
      <c r="D84" s="37"/>
      <c r="E84" s="37"/>
      <c r="F84" s="37"/>
      <c r="G84" s="38"/>
      <c r="H84" s="38"/>
      <c r="I84" s="37"/>
      <c r="J84" s="38"/>
      <c r="K84" s="37"/>
      <c r="L84" s="37"/>
      <c r="M84" s="37"/>
      <c r="N84" s="37"/>
      <c r="O84" s="37"/>
      <c r="P84" s="37"/>
      <c r="Q84" s="37"/>
      <c r="R84" s="37"/>
      <c r="S84" s="37"/>
      <c r="T84" s="37"/>
      <c r="U84" s="37"/>
      <c r="V84" s="37"/>
      <c r="W84" s="37"/>
      <c r="X84" s="36" t="str">
        <f aca="false">IF($A84="","",TRIM($B$4&amp;" "&amp;$D$4))</f>
        <v/>
      </c>
      <c r="Y84" s="37"/>
      <c r="Z84" s="38"/>
      <c r="AA84" s="37"/>
      <c r="AB84" s="39" t="str">
        <f aca="false">IFERROR(IF(COUNTA($B84:$W84)+COUNTA($Y84:$AA84)=0,"",IF(A84="","① 条目ID未生成(先在顶栏填学号与编号)",IF(COUNTIF($A$8:$A$207,A84)&gt;1,"① 条目ID重复",IF(B84="","② 缺文件名称",IF(D84="","④ 缺位阶",IF(E84="","⑤ 缺制定区域",IF(NOT(ISNUMBER(H84)),"⑧ 施行日期须为日期格式 YYYY-MM-DD",IF(AND(I84&lt;&gt;"现行有效",I84&lt;&gt;"",J84=""),"⑩ 非现行有效须填失效/修订日期",IF(AND(ISNUMBER(J84),ISNUMBER(H84),J84&lt;=H84),"⑩ 失效日期须晚于施行日期",IF(K84="","⑪ 缺主题标签(主)",IF(AND(L84&lt;&gt;"",L84=K84),"⑫ 次标签不得与主标签相同",IF(AND(ISERROR(SEARCH("条",M84)),ISERROR(SEARCH("段",M84)),ISERROR(SEARCH("项",M84))),"⑬ 条文定位须到条/款/项或段",IF(OR(N84="",O84="",P84="",Q84=""),"⑭-⑰ 五要素未填全",IF(LEN(Q84)&gt;120,"⑰ 行为模式内容超120字,请再概括",IF(S84="","⑲ 缺原文摘录",IF(LEN(S84)&gt;200,"⑲ 原文摘录超200字,说明条文选得太大",IF(AND(E84="国家",U84=""),"㉑ 国家层须填央地权限配置",IF(AND(E84="国家",V84&lt;&gt;""),"㉒ 国家层不填地方自主权类型",IF(AND(E84&lt;&gt;"国家",V84=""),"㉒ 地方层须填地方自主权类型",IF(AND(E84&lt;&gt;"国家",U84&lt;&gt;""),"㉑ 地方层不填央地权限配置",IF(W84="","㉓ 缺核实来源",IF(X84="","㉔ 缺录入人",IF(Y84="","㉕ 缺版本号","✔ 通过基础校验"))))))))))))))))))))))),"⚠ 自检公式受损(勿用剪切移动单元格),请告知老师修复")</f>
        <v/>
      </c>
    </row>
    <row r="85" customFormat="false" ht="30" hidden="false" customHeight="true" outlineLevel="0" collapsed="false">
      <c r="A85" s="36" t="str">
        <f aca="false">IF($D$4="","",IF(COUNTA($B85:$W85)+COUNTA($Y85:$AA85)=0,"",$D$4&amp;"-"&amp;TEXT(ROW()-7,"000")))</f>
        <v/>
      </c>
      <c r="B85" s="37"/>
      <c r="C85" s="37"/>
      <c r="D85" s="37"/>
      <c r="E85" s="37"/>
      <c r="F85" s="37"/>
      <c r="G85" s="38"/>
      <c r="H85" s="38"/>
      <c r="I85" s="37"/>
      <c r="J85" s="38"/>
      <c r="K85" s="37"/>
      <c r="L85" s="37"/>
      <c r="M85" s="37"/>
      <c r="N85" s="37"/>
      <c r="O85" s="37"/>
      <c r="P85" s="37"/>
      <c r="Q85" s="37"/>
      <c r="R85" s="37"/>
      <c r="S85" s="37"/>
      <c r="T85" s="37"/>
      <c r="U85" s="37"/>
      <c r="V85" s="37"/>
      <c r="W85" s="37"/>
      <c r="X85" s="36" t="str">
        <f aca="false">IF($A85="","",TRIM($B$4&amp;" "&amp;$D$4))</f>
        <v/>
      </c>
      <c r="Y85" s="37"/>
      <c r="Z85" s="38"/>
      <c r="AA85" s="37"/>
      <c r="AB85" s="39" t="str">
        <f aca="false">IFERROR(IF(COUNTA($B85:$W85)+COUNTA($Y85:$AA85)=0,"",IF(A85="","① 条目ID未生成(先在顶栏填学号与编号)",IF(COUNTIF($A$8:$A$207,A85)&gt;1,"① 条目ID重复",IF(B85="","② 缺文件名称",IF(D85="","④ 缺位阶",IF(E85="","⑤ 缺制定区域",IF(NOT(ISNUMBER(H85)),"⑧ 施行日期须为日期格式 YYYY-MM-DD",IF(AND(I85&lt;&gt;"现行有效",I85&lt;&gt;"",J85=""),"⑩ 非现行有效须填失效/修订日期",IF(AND(ISNUMBER(J85),ISNUMBER(H85),J85&lt;=H85),"⑩ 失效日期须晚于施行日期",IF(K85="","⑪ 缺主题标签(主)",IF(AND(L85&lt;&gt;"",L85=K85),"⑫ 次标签不得与主标签相同",IF(AND(ISERROR(SEARCH("条",M85)),ISERROR(SEARCH("段",M85)),ISERROR(SEARCH("项",M85))),"⑬ 条文定位须到条/款/项或段",IF(OR(N85="",O85="",P85="",Q85=""),"⑭-⑰ 五要素未填全",IF(LEN(Q85)&gt;120,"⑰ 行为模式内容超120字,请再概括",IF(S85="","⑲ 缺原文摘录",IF(LEN(S85)&gt;200,"⑲ 原文摘录超200字,说明条文选得太大",IF(AND(E85="国家",U85=""),"㉑ 国家层须填央地权限配置",IF(AND(E85="国家",V85&lt;&gt;""),"㉒ 国家层不填地方自主权类型",IF(AND(E85&lt;&gt;"国家",V85=""),"㉒ 地方层须填地方自主权类型",IF(AND(E85&lt;&gt;"国家",U85&lt;&gt;""),"㉑ 地方层不填央地权限配置",IF(W85="","㉓ 缺核实来源",IF(X85="","㉔ 缺录入人",IF(Y85="","㉕ 缺版本号","✔ 通过基础校验"))))))))))))))))))))))),"⚠ 自检公式受损(勿用剪切移动单元格),请告知老师修复")</f>
        <v/>
      </c>
    </row>
    <row r="86" customFormat="false" ht="30" hidden="false" customHeight="true" outlineLevel="0" collapsed="false">
      <c r="A86" s="36" t="str">
        <f aca="false">IF($D$4="","",IF(COUNTA($B86:$W86)+COUNTA($Y86:$AA86)=0,"",$D$4&amp;"-"&amp;TEXT(ROW()-7,"000")))</f>
        <v/>
      </c>
      <c r="B86" s="37"/>
      <c r="C86" s="37"/>
      <c r="D86" s="37"/>
      <c r="E86" s="37"/>
      <c r="F86" s="37"/>
      <c r="G86" s="38"/>
      <c r="H86" s="38"/>
      <c r="I86" s="37"/>
      <c r="J86" s="38"/>
      <c r="K86" s="37"/>
      <c r="L86" s="37"/>
      <c r="M86" s="37"/>
      <c r="N86" s="37"/>
      <c r="O86" s="37"/>
      <c r="P86" s="37"/>
      <c r="Q86" s="37"/>
      <c r="R86" s="37"/>
      <c r="S86" s="37"/>
      <c r="T86" s="37"/>
      <c r="U86" s="37"/>
      <c r="V86" s="37"/>
      <c r="W86" s="37"/>
      <c r="X86" s="36" t="str">
        <f aca="false">IF($A86="","",TRIM($B$4&amp;" "&amp;$D$4))</f>
        <v/>
      </c>
      <c r="Y86" s="37"/>
      <c r="Z86" s="38"/>
      <c r="AA86" s="37"/>
      <c r="AB86" s="39" t="str">
        <f aca="false">IFERROR(IF(COUNTA($B86:$W86)+COUNTA($Y86:$AA86)=0,"",IF(A86="","① 条目ID未生成(先在顶栏填学号与编号)",IF(COUNTIF($A$8:$A$207,A86)&gt;1,"① 条目ID重复",IF(B86="","② 缺文件名称",IF(D86="","④ 缺位阶",IF(E86="","⑤ 缺制定区域",IF(NOT(ISNUMBER(H86)),"⑧ 施行日期须为日期格式 YYYY-MM-DD",IF(AND(I86&lt;&gt;"现行有效",I86&lt;&gt;"",J86=""),"⑩ 非现行有效须填失效/修订日期",IF(AND(ISNUMBER(J86),ISNUMBER(H86),J86&lt;=H86),"⑩ 失效日期须晚于施行日期",IF(K86="","⑪ 缺主题标签(主)",IF(AND(L86&lt;&gt;"",L86=K86),"⑫ 次标签不得与主标签相同",IF(AND(ISERROR(SEARCH("条",M86)),ISERROR(SEARCH("段",M86)),ISERROR(SEARCH("项",M86))),"⑬ 条文定位须到条/款/项或段",IF(OR(N86="",O86="",P86="",Q86=""),"⑭-⑰ 五要素未填全",IF(LEN(Q86)&gt;120,"⑰ 行为模式内容超120字,请再概括",IF(S86="","⑲ 缺原文摘录",IF(LEN(S86)&gt;200,"⑲ 原文摘录超200字,说明条文选得太大",IF(AND(E86="国家",U86=""),"㉑ 国家层须填央地权限配置",IF(AND(E86="国家",V86&lt;&gt;""),"㉒ 国家层不填地方自主权类型",IF(AND(E86&lt;&gt;"国家",V86=""),"㉒ 地方层须填地方自主权类型",IF(AND(E86&lt;&gt;"国家",U86&lt;&gt;""),"㉑ 地方层不填央地权限配置",IF(W86="","㉓ 缺核实来源",IF(X86="","㉔ 缺录入人",IF(Y86="","㉕ 缺版本号","✔ 通过基础校验"))))))))))))))))))))))),"⚠ 自检公式受损(勿用剪切移动单元格),请告知老师修复")</f>
        <v/>
      </c>
    </row>
    <row r="87" customFormat="false" ht="30" hidden="false" customHeight="true" outlineLevel="0" collapsed="false">
      <c r="A87" s="36" t="str">
        <f aca="false">IF($D$4="","",IF(COUNTA($B87:$W87)+COUNTA($Y87:$AA87)=0,"",$D$4&amp;"-"&amp;TEXT(ROW()-7,"000")))</f>
        <v/>
      </c>
      <c r="B87" s="37"/>
      <c r="C87" s="37"/>
      <c r="D87" s="37"/>
      <c r="E87" s="37"/>
      <c r="F87" s="37"/>
      <c r="G87" s="38"/>
      <c r="H87" s="38"/>
      <c r="I87" s="37"/>
      <c r="J87" s="38"/>
      <c r="K87" s="37"/>
      <c r="L87" s="37"/>
      <c r="M87" s="37"/>
      <c r="N87" s="37"/>
      <c r="O87" s="37"/>
      <c r="P87" s="37"/>
      <c r="Q87" s="37"/>
      <c r="R87" s="37"/>
      <c r="S87" s="37"/>
      <c r="T87" s="37"/>
      <c r="U87" s="37"/>
      <c r="V87" s="37"/>
      <c r="W87" s="37"/>
      <c r="X87" s="36" t="str">
        <f aca="false">IF($A87="","",TRIM($B$4&amp;" "&amp;$D$4))</f>
        <v/>
      </c>
      <c r="Y87" s="37"/>
      <c r="Z87" s="38"/>
      <c r="AA87" s="37"/>
      <c r="AB87" s="39" t="str">
        <f aca="false">IFERROR(IF(COUNTA($B87:$W87)+COUNTA($Y87:$AA87)=0,"",IF(A87="","① 条目ID未生成(先在顶栏填学号与编号)",IF(COUNTIF($A$8:$A$207,A87)&gt;1,"① 条目ID重复",IF(B87="","② 缺文件名称",IF(D87="","④ 缺位阶",IF(E87="","⑤ 缺制定区域",IF(NOT(ISNUMBER(H87)),"⑧ 施行日期须为日期格式 YYYY-MM-DD",IF(AND(I87&lt;&gt;"现行有效",I87&lt;&gt;"",J87=""),"⑩ 非现行有效须填失效/修订日期",IF(AND(ISNUMBER(J87),ISNUMBER(H87),J87&lt;=H87),"⑩ 失效日期须晚于施行日期",IF(K87="","⑪ 缺主题标签(主)",IF(AND(L87&lt;&gt;"",L87=K87),"⑫ 次标签不得与主标签相同",IF(AND(ISERROR(SEARCH("条",M87)),ISERROR(SEARCH("段",M87)),ISERROR(SEARCH("项",M87))),"⑬ 条文定位须到条/款/项或段",IF(OR(N87="",O87="",P87="",Q87=""),"⑭-⑰ 五要素未填全",IF(LEN(Q87)&gt;120,"⑰ 行为模式内容超120字,请再概括",IF(S87="","⑲ 缺原文摘录",IF(LEN(S87)&gt;200,"⑲ 原文摘录超200字,说明条文选得太大",IF(AND(E87="国家",U87=""),"㉑ 国家层须填央地权限配置",IF(AND(E87="国家",V87&lt;&gt;""),"㉒ 国家层不填地方自主权类型",IF(AND(E87&lt;&gt;"国家",V87=""),"㉒ 地方层须填地方自主权类型",IF(AND(E87&lt;&gt;"国家",U87&lt;&gt;""),"㉑ 地方层不填央地权限配置",IF(W87="","㉓ 缺核实来源",IF(X87="","㉔ 缺录入人",IF(Y87="","㉕ 缺版本号","✔ 通过基础校验"))))))))))))))))))))))),"⚠ 自检公式受损(勿用剪切移动单元格),请告知老师修复")</f>
        <v/>
      </c>
    </row>
    <row r="88" customFormat="false" ht="30" hidden="false" customHeight="true" outlineLevel="0" collapsed="false">
      <c r="A88" s="36" t="str">
        <f aca="false">IF($D$4="","",IF(COUNTA($B88:$W88)+COUNTA($Y88:$AA88)=0,"",$D$4&amp;"-"&amp;TEXT(ROW()-7,"000")))</f>
        <v/>
      </c>
      <c r="B88" s="37"/>
      <c r="C88" s="37"/>
      <c r="D88" s="37"/>
      <c r="E88" s="37"/>
      <c r="F88" s="37"/>
      <c r="G88" s="38"/>
      <c r="H88" s="38"/>
      <c r="I88" s="37"/>
      <c r="J88" s="38"/>
      <c r="K88" s="37"/>
      <c r="L88" s="37"/>
      <c r="M88" s="37"/>
      <c r="N88" s="37"/>
      <c r="O88" s="37"/>
      <c r="P88" s="37"/>
      <c r="Q88" s="37"/>
      <c r="R88" s="37"/>
      <c r="S88" s="37"/>
      <c r="T88" s="37"/>
      <c r="U88" s="37"/>
      <c r="V88" s="37"/>
      <c r="W88" s="37"/>
      <c r="X88" s="36" t="str">
        <f aca="false">IF($A88="","",TRIM($B$4&amp;" "&amp;$D$4))</f>
        <v/>
      </c>
      <c r="Y88" s="37"/>
      <c r="Z88" s="38"/>
      <c r="AA88" s="37"/>
      <c r="AB88" s="39" t="str">
        <f aca="false">IFERROR(IF(COUNTA($B88:$W88)+COUNTA($Y88:$AA88)=0,"",IF(A88="","① 条目ID未生成(先在顶栏填学号与编号)",IF(COUNTIF($A$8:$A$207,A88)&gt;1,"① 条目ID重复",IF(B88="","② 缺文件名称",IF(D88="","④ 缺位阶",IF(E88="","⑤ 缺制定区域",IF(NOT(ISNUMBER(H88)),"⑧ 施行日期须为日期格式 YYYY-MM-DD",IF(AND(I88&lt;&gt;"现行有效",I88&lt;&gt;"",J88=""),"⑩ 非现行有效须填失效/修订日期",IF(AND(ISNUMBER(J88),ISNUMBER(H88),J88&lt;=H88),"⑩ 失效日期须晚于施行日期",IF(K88="","⑪ 缺主题标签(主)",IF(AND(L88&lt;&gt;"",L88=K88),"⑫ 次标签不得与主标签相同",IF(AND(ISERROR(SEARCH("条",M88)),ISERROR(SEARCH("段",M88)),ISERROR(SEARCH("项",M88))),"⑬ 条文定位须到条/款/项或段",IF(OR(N88="",O88="",P88="",Q88=""),"⑭-⑰ 五要素未填全",IF(LEN(Q88)&gt;120,"⑰ 行为模式内容超120字,请再概括",IF(S88="","⑲ 缺原文摘录",IF(LEN(S88)&gt;200,"⑲ 原文摘录超200字,说明条文选得太大",IF(AND(E88="国家",U88=""),"㉑ 国家层须填央地权限配置",IF(AND(E88="国家",V88&lt;&gt;""),"㉒ 国家层不填地方自主权类型",IF(AND(E88&lt;&gt;"国家",V88=""),"㉒ 地方层须填地方自主权类型",IF(AND(E88&lt;&gt;"国家",U88&lt;&gt;""),"㉑ 地方层不填央地权限配置",IF(W88="","㉓ 缺核实来源",IF(X88="","㉔ 缺录入人",IF(Y88="","㉕ 缺版本号","✔ 通过基础校验"))))))))))))))))))))))),"⚠ 自检公式受损(勿用剪切移动单元格),请告知老师修复")</f>
        <v/>
      </c>
    </row>
    <row r="89" customFormat="false" ht="30" hidden="false" customHeight="true" outlineLevel="0" collapsed="false">
      <c r="A89" s="36" t="str">
        <f aca="false">IF($D$4="","",IF(COUNTA($B89:$W89)+COUNTA($Y89:$AA89)=0,"",$D$4&amp;"-"&amp;TEXT(ROW()-7,"000")))</f>
        <v/>
      </c>
      <c r="B89" s="37"/>
      <c r="C89" s="37"/>
      <c r="D89" s="37"/>
      <c r="E89" s="37"/>
      <c r="F89" s="37"/>
      <c r="G89" s="38"/>
      <c r="H89" s="38"/>
      <c r="I89" s="37"/>
      <c r="J89" s="38"/>
      <c r="K89" s="37"/>
      <c r="L89" s="37"/>
      <c r="M89" s="37"/>
      <c r="N89" s="37"/>
      <c r="O89" s="37"/>
      <c r="P89" s="37"/>
      <c r="Q89" s="37"/>
      <c r="R89" s="37"/>
      <c r="S89" s="37"/>
      <c r="T89" s="37"/>
      <c r="U89" s="37"/>
      <c r="V89" s="37"/>
      <c r="W89" s="37"/>
      <c r="X89" s="36" t="str">
        <f aca="false">IF($A89="","",TRIM($B$4&amp;" "&amp;$D$4))</f>
        <v/>
      </c>
      <c r="Y89" s="37"/>
      <c r="Z89" s="38"/>
      <c r="AA89" s="37"/>
      <c r="AB89" s="39" t="str">
        <f aca="false">IFERROR(IF(COUNTA($B89:$W89)+COUNTA($Y89:$AA89)=0,"",IF(A89="","① 条目ID未生成(先在顶栏填学号与编号)",IF(COUNTIF($A$8:$A$207,A89)&gt;1,"① 条目ID重复",IF(B89="","② 缺文件名称",IF(D89="","④ 缺位阶",IF(E89="","⑤ 缺制定区域",IF(NOT(ISNUMBER(H89)),"⑧ 施行日期须为日期格式 YYYY-MM-DD",IF(AND(I89&lt;&gt;"现行有效",I89&lt;&gt;"",J89=""),"⑩ 非现行有效须填失效/修订日期",IF(AND(ISNUMBER(J89),ISNUMBER(H89),J89&lt;=H89),"⑩ 失效日期须晚于施行日期",IF(K89="","⑪ 缺主题标签(主)",IF(AND(L89&lt;&gt;"",L89=K89),"⑫ 次标签不得与主标签相同",IF(AND(ISERROR(SEARCH("条",M89)),ISERROR(SEARCH("段",M89)),ISERROR(SEARCH("项",M89))),"⑬ 条文定位须到条/款/项或段",IF(OR(N89="",O89="",P89="",Q89=""),"⑭-⑰ 五要素未填全",IF(LEN(Q89)&gt;120,"⑰ 行为模式内容超120字,请再概括",IF(S89="","⑲ 缺原文摘录",IF(LEN(S89)&gt;200,"⑲ 原文摘录超200字,说明条文选得太大",IF(AND(E89="国家",U89=""),"㉑ 国家层须填央地权限配置",IF(AND(E89="国家",V89&lt;&gt;""),"㉒ 国家层不填地方自主权类型",IF(AND(E89&lt;&gt;"国家",V89=""),"㉒ 地方层须填地方自主权类型",IF(AND(E89&lt;&gt;"国家",U89&lt;&gt;""),"㉑ 地方层不填央地权限配置",IF(W89="","㉓ 缺核实来源",IF(X89="","㉔ 缺录入人",IF(Y89="","㉕ 缺版本号","✔ 通过基础校验"))))))))))))))))))))))),"⚠ 自检公式受损(勿用剪切移动单元格),请告知老师修复")</f>
        <v/>
      </c>
    </row>
    <row r="90" customFormat="false" ht="30" hidden="false" customHeight="true" outlineLevel="0" collapsed="false">
      <c r="A90" s="36" t="str">
        <f aca="false">IF($D$4="","",IF(COUNTA($B90:$W90)+COUNTA($Y90:$AA90)=0,"",$D$4&amp;"-"&amp;TEXT(ROW()-7,"000")))</f>
        <v/>
      </c>
      <c r="B90" s="37"/>
      <c r="C90" s="37"/>
      <c r="D90" s="37"/>
      <c r="E90" s="37"/>
      <c r="F90" s="37"/>
      <c r="G90" s="38"/>
      <c r="H90" s="38"/>
      <c r="I90" s="37"/>
      <c r="J90" s="38"/>
      <c r="K90" s="37"/>
      <c r="L90" s="37"/>
      <c r="M90" s="37"/>
      <c r="N90" s="37"/>
      <c r="O90" s="37"/>
      <c r="P90" s="37"/>
      <c r="Q90" s="37"/>
      <c r="R90" s="37"/>
      <c r="S90" s="37"/>
      <c r="T90" s="37"/>
      <c r="U90" s="37"/>
      <c r="V90" s="37"/>
      <c r="W90" s="37"/>
      <c r="X90" s="36" t="str">
        <f aca="false">IF($A90="","",TRIM($B$4&amp;" "&amp;$D$4))</f>
        <v/>
      </c>
      <c r="Y90" s="37"/>
      <c r="Z90" s="38"/>
      <c r="AA90" s="37"/>
      <c r="AB90" s="39" t="str">
        <f aca="false">IFERROR(IF(COUNTA($B90:$W90)+COUNTA($Y90:$AA90)=0,"",IF(A90="","① 条目ID未生成(先在顶栏填学号与编号)",IF(COUNTIF($A$8:$A$207,A90)&gt;1,"① 条目ID重复",IF(B90="","② 缺文件名称",IF(D90="","④ 缺位阶",IF(E90="","⑤ 缺制定区域",IF(NOT(ISNUMBER(H90)),"⑧ 施行日期须为日期格式 YYYY-MM-DD",IF(AND(I90&lt;&gt;"现行有效",I90&lt;&gt;"",J90=""),"⑩ 非现行有效须填失效/修订日期",IF(AND(ISNUMBER(J90),ISNUMBER(H90),J90&lt;=H90),"⑩ 失效日期须晚于施行日期",IF(K90="","⑪ 缺主题标签(主)",IF(AND(L90&lt;&gt;"",L90=K90),"⑫ 次标签不得与主标签相同",IF(AND(ISERROR(SEARCH("条",M90)),ISERROR(SEARCH("段",M90)),ISERROR(SEARCH("项",M90))),"⑬ 条文定位须到条/款/项或段",IF(OR(N90="",O90="",P90="",Q90=""),"⑭-⑰ 五要素未填全",IF(LEN(Q90)&gt;120,"⑰ 行为模式内容超120字,请再概括",IF(S90="","⑲ 缺原文摘录",IF(LEN(S90)&gt;200,"⑲ 原文摘录超200字,说明条文选得太大",IF(AND(E90="国家",U90=""),"㉑ 国家层须填央地权限配置",IF(AND(E90="国家",V90&lt;&gt;""),"㉒ 国家层不填地方自主权类型",IF(AND(E90&lt;&gt;"国家",V90=""),"㉒ 地方层须填地方自主权类型",IF(AND(E90&lt;&gt;"国家",U90&lt;&gt;""),"㉑ 地方层不填央地权限配置",IF(W90="","㉓ 缺核实来源",IF(X90="","㉔ 缺录入人",IF(Y90="","㉕ 缺版本号","✔ 通过基础校验"))))))))))))))))))))))),"⚠ 自检公式受损(勿用剪切移动单元格),请告知老师修复")</f>
        <v/>
      </c>
    </row>
    <row r="91" customFormat="false" ht="30" hidden="false" customHeight="true" outlineLevel="0" collapsed="false">
      <c r="A91" s="36" t="str">
        <f aca="false">IF($D$4="","",IF(COUNTA($B91:$W91)+COUNTA($Y91:$AA91)=0,"",$D$4&amp;"-"&amp;TEXT(ROW()-7,"000")))</f>
        <v/>
      </c>
      <c r="B91" s="37"/>
      <c r="C91" s="37"/>
      <c r="D91" s="37"/>
      <c r="E91" s="37"/>
      <c r="F91" s="37"/>
      <c r="G91" s="38"/>
      <c r="H91" s="38"/>
      <c r="I91" s="37"/>
      <c r="J91" s="38"/>
      <c r="K91" s="37"/>
      <c r="L91" s="37"/>
      <c r="M91" s="37"/>
      <c r="N91" s="37"/>
      <c r="O91" s="37"/>
      <c r="P91" s="37"/>
      <c r="Q91" s="37"/>
      <c r="R91" s="37"/>
      <c r="S91" s="37"/>
      <c r="T91" s="37"/>
      <c r="U91" s="37"/>
      <c r="V91" s="37"/>
      <c r="W91" s="37"/>
      <c r="X91" s="36" t="str">
        <f aca="false">IF($A91="","",TRIM($B$4&amp;" "&amp;$D$4))</f>
        <v/>
      </c>
      <c r="Y91" s="37"/>
      <c r="Z91" s="38"/>
      <c r="AA91" s="37"/>
      <c r="AB91" s="39" t="str">
        <f aca="false">IFERROR(IF(COUNTA($B91:$W91)+COUNTA($Y91:$AA91)=0,"",IF(A91="","① 条目ID未生成(先在顶栏填学号与编号)",IF(COUNTIF($A$8:$A$207,A91)&gt;1,"① 条目ID重复",IF(B91="","② 缺文件名称",IF(D91="","④ 缺位阶",IF(E91="","⑤ 缺制定区域",IF(NOT(ISNUMBER(H91)),"⑧ 施行日期须为日期格式 YYYY-MM-DD",IF(AND(I91&lt;&gt;"现行有效",I91&lt;&gt;"",J91=""),"⑩ 非现行有效须填失效/修订日期",IF(AND(ISNUMBER(J91),ISNUMBER(H91),J91&lt;=H91),"⑩ 失效日期须晚于施行日期",IF(K91="","⑪ 缺主题标签(主)",IF(AND(L91&lt;&gt;"",L91=K91),"⑫ 次标签不得与主标签相同",IF(AND(ISERROR(SEARCH("条",M91)),ISERROR(SEARCH("段",M91)),ISERROR(SEARCH("项",M91))),"⑬ 条文定位须到条/款/项或段",IF(OR(N91="",O91="",P91="",Q91=""),"⑭-⑰ 五要素未填全",IF(LEN(Q91)&gt;120,"⑰ 行为模式内容超120字,请再概括",IF(S91="","⑲ 缺原文摘录",IF(LEN(S91)&gt;200,"⑲ 原文摘录超200字,说明条文选得太大",IF(AND(E91="国家",U91=""),"㉑ 国家层须填央地权限配置",IF(AND(E91="国家",V91&lt;&gt;""),"㉒ 国家层不填地方自主权类型",IF(AND(E91&lt;&gt;"国家",V91=""),"㉒ 地方层须填地方自主权类型",IF(AND(E91&lt;&gt;"国家",U91&lt;&gt;""),"㉑ 地方层不填央地权限配置",IF(W91="","㉓ 缺核实来源",IF(X91="","㉔ 缺录入人",IF(Y91="","㉕ 缺版本号","✔ 通过基础校验"))))))))))))))))))))))),"⚠ 自检公式受损(勿用剪切移动单元格),请告知老师修复")</f>
        <v/>
      </c>
    </row>
    <row r="92" customFormat="false" ht="30" hidden="false" customHeight="true" outlineLevel="0" collapsed="false">
      <c r="A92" s="36" t="str">
        <f aca="false">IF($D$4="","",IF(COUNTA($B92:$W92)+COUNTA($Y92:$AA92)=0,"",$D$4&amp;"-"&amp;TEXT(ROW()-7,"000")))</f>
        <v/>
      </c>
      <c r="B92" s="37"/>
      <c r="C92" s="37"/>
      <c r="D92" s="37"/>
      <c r="E92" s="37"/>
      <c r="F92" s="37"/>
      <c r="G92" s="38"/>
      <c r="H92" s="38"/>
      <c r="I92" s="37"/>
      <c r="J92" s="38"/>
      <c r="K92" s="37"/>
      <c r="L92" s="37"/>
      <c r="M92" s="37"/>
      <c r="N92" s="37"/>
      <c r="O92" s="37"/>
      <c r="P92" s="37"/>
      <c r="Q92" s="37"/>
      <c r="R92" s="37"/>
      <c r="S92" s="37"/>
      <c r="T92" s="37"/>
      <c r="U92" s="37"/>
      <c r="V92" s="37"/>
      <c r="W92" s="37"/>
      <c r="X92" s="36" t="str">
        <f aca="false">IF($A92="","",TRIM($B$4&amp;" "&amp;$D$4))</f>
        <v/>
      </c>
      <c r="Y92" s="37"/>
      <c r="Z92" s="38"/>
      <c r="AA92" s="37"/>
      <c r="AB92" s="39" t="str">
        <f aca="false">IFERROR(IF(COUNTA($B92:$W92)+COUNTA($Y92:$AA92)=0,"",IF(A92="","① 条目ID未生成(先在顶栏填学号与编号)",IF(COUNTIF($A$8:$A$207,A92)&gt;1,"① 条目ID重复",IF(B92="","② 缺文件名称",IF(D92="","④ 缺位阶",IF(E92="","⑤ 缺制定区域",IF(NOT(ISNUMBER(H92)),"⑧ 施行日期须为日期格式 YYYY-MM-DD",IF(AND(I92&lt;&gt;"现行有效",I92&lt;&gt;"",J92=""),"⑩ 非现行有效须填失效/修订日期",IF(AND(ISNUMBER(J92),ISNUMBER(H92),J92&lt;=H92),"⑩ 失效日期须晚于施行日期",IF(K92="","⑪ 缺主题标签(主)",IF(AND(L92&lt;&gt;"",L92=K92),"⑫ 次标签不得与主标签相同",IF(AND(ISERROR(SEARCH("条",M92)),ISERROR(SEARCH("段",M92)),ISERROR(SEARCH("项",M92))),"⑬ 条文定位须到条/款/项或段",IF(OR(N92="",O92="",P92="",Q92=""),"⑭-⑰ 五要素未填全",IF(LEN(Q92)&gt;120,"⑰ 行为模式内容超120字,请再概括",IF(S92="","⑲ 缺原文摘录",IF(LEN(S92)&gt;200,"⑲ 原文摘录超200字,说明条文选得太大",IF(AND(E92="国家",U92=""),"㉑ 国家层须填央地权限配置",IF(AND(E92="国家",V92&lt;&gt;""),"㉒ 国家层不填地方自主权类型",IF(AND(E92&lt;&gt;"国家",V92=""),"㉒ 地方层须填地方自主权类型",IF(AND(E92&lt;&gt;"国家",U92&lt;&gt;""),"㉑ 地方层不填央地权限配置",IF(W92="","㉓ 缺核实来源",IF(X92="","㉔ 缺录入人",IF(Y92="","㉕ 缺版本号","✔ 通过基础校验"))))))))))))))))))))))),"⚠ 自检公式受损(勿用剪切移动单元格),请告知老师修复")</f>
        <v/>
      </c>
    </row>
    <row r="93" customFormat="false" ht="30" hidden="false" customHeight="true" outlineLevel="0" collapsed="false">
      <c r="A93" s="36" t="str">
        <f aca="false">IF($D$4="","",IF(COUNTA($B93:$W93)+COUNTA($Y93:$AA93)=0,"",$D$4&amp;"-"&amp;TEXT(ROW()-7,"000")))</f>
        <v/>
      </c>
      <c r="B93" s="37"/>
      <c r="C93" s="37"/>
      <c r="D93" s="37"/>
      <c r="E93" s="37"/>
      <c r="F93" s="37"/>
      <c r="G93" s="38"/>
      <c r="H93" s="38"/>
      <c r="I93" s="37"/>
      <c r="J93" s="38"/>
      <c r="K93" s="37"/>
      <c r="L93" s="37"/>
      <c r="M93" s="37"/>
      <c r="N93" s="37"/>
      <c r="O93" s="37"/>
      <c r="P93" s="37"/>
      <c r="Q93" s="37"/>
      <c r="R93" s="37"/>
      <c r="S93" s="37"/>
      <c r="T93" s="37"/>
      <c r="U93" s="37"/>
      <c r="V93" s="37"/>
      <c r="W93" s="37"/>
      <c r="X93" s="36" t="str">
        <f aca="false">IF($A93="","",TRIM($B$4&amp;" "&amp;$D$4))</f>
        <v/>
      </c>
      <c r="Y93" s="37"/>
      <c r="Z93" s="38"/>
      <c r="AA93" s="37"/>
      <c r="AB93" s="39" t="str">
        <f aca="false">IFERROR(IF(COUNTA($B93:$W93)+COUNTA($Y93:$AA93)=0,"",IF(A93="","① 条目ID未生成(先在顶栏填学号与编号)",IF(COUNTIF($A$8:$A$207,A93)&gt;1,"① 条目ID重复",IF(B93="","② 缺文件名称",IF(D93="","④ 缺位阶",IF(E93="","⑤ 缺制定区域",IF(NOT(ISNUMBER(H93)),"⑧ 施行日期须为日期格式 YYYY-MM-DD",IF(AND(I93&lt;&gt;"现行有效",I93&lt;&gt;"",J93=""),"⑩ 非现行有效须填失效/修订日期",IF(AND(ISNUMBER(J93),ISNUMBER(H93),J93&lt;=H93),"⑩ 失效日期须晚于施行日期",IF(K93="","⑪ 缺主题标签(主)",IF(AND(L93&lt;&gt;"",L93=K93),"⑫ 次标签不得与主标签相同",IF(AND(ISERROR(SEARCH("条",M93)),ISERROR(SEARCH("段",M93)),ISERROR(SEARCH("项",M93))),"⑬ 条文定位须到条/款/项或段",IF(OR(N93="",O93="",P93="",Q93=""),"⑭-⑰ 五要素未填全",IF(LEN(Q93)&gt;120,"⑰ 行为模式内容超120字,请再概括",IF(S93="","⑲ 缺原文摘录",IF(LEN(S93)&gt;200,"⑲ 原文摘录超200字,说明条文选得太大",IF(AND(E93="国家",U93=""),"㉑ 国家层须填央地权限配置",IF(AND(E93="国家",V93&lt;&gt;""),"㉒ 国家层不填地方自主权类型",IF(AND(E93&lt;&gt;"国家",V93=""),"㉒ 地方层须填地方自主权类型",IF(AND(E93&lt;&gt;"国家",U93&lt;&gt;""),"㉑ 地方层不填央地权限配置",IF(W93="","㉓ 缺核实来源",IF(X93="","㉔ 缺录入人",IF(Y93="","㉕ 缺版本号","✔ 通过基础校验"))))))))))))))))))))))),"⚠ 自检公式受损(勿用剪切移动单元格),请告知老师修复")</f>
        <v/>
      </c>
    </row>
    <row r="94" customFormat="false" ht="30" hidden="false" customHeight="true" outlineLevel="0" collapsed="false">
      <c r="A94" s="36" t="str">
        <f aca="false">IF($D$4="","",IF(COUNTA($B94:$W94)+COUNTA($Y94:$AA94)=0,"",$D$4&amp;"-"&amp;TEXT(ROW()-7,"000")))</f>
        <v/>
      </c>
      <c r="B94" s="37"/>
      <c r="C94" s="37"/>
      <c r="D94" s="37"/>
      <c r="E94" s="37"/>
      <c r="F94" s="37"/>
      <c r="G94" s="38"/>
      <c r="H94" s="38"/>
      <c r="I94" s="37"/>
      <c r="J94" s="38"/>
      <c r="K94" s="37"/>
      <c r="L94" s="37"/>
      <c r="M94" s="37"/>
      <c r="N94" s="37"/>
      <c r="O94" s="37"/>
      <c r="P94" s="37"/>
      <c r="Q94" s="37"/>
      <c r="R94" s="37"/>
      <c r="S94" s="37"/>
      <c r="T94" s="37"/>
      <c r="U94" s="37"/>
      <c r="V94" s="37"/>
      <c r="W94" s="37"/>
      <c r="X94" s="36" t="str">
        <f aca="false">IF($A94="","",TRIM($B$4&amp;" "&amp;$D$4))</f>
        <v/>
      </c>
      <c r="Y94" s="37"/>
      <c r="Z94" s="38"/>
      <c r="AA94" s="37"/>
      <c r="AB94" s="39" t="str">
        <f aca="false">IFERROR(IF(COUNTA($B94:$W94)+COUNTA($Y94:$AA94)=0,"",IF(A94="","① 条目ID未生成(先在顶栏填学号与编号)",IF(COUNTIF($A$8:$A$207,A94)&gt;1,"① 条目ID重复",IF(B94="","② 缺文件名称",IF(D94="","④ 缺位阶",IF(E94="","⑤ 缺制定区域",IF(NOT(ISNUMBER(H94)),"⑧ 施行日期须为日期格式 YYYY-MM-DD",IF(AND(I94&lt;&gt;"现行有效",I94&lt;&gt;"",J94=""),"⑩ 非现行有效须填失效/修订日期",IF(AND(ISNUMBER(J94),ISNUMBER(H94),J94&lt;=H94),"⑩ 失效日期须晚于施行日期",IF(K94="","⑪ 缺主题标签(主)",IF(AND(L94&lt;&gt;"",L94=K94),"⑫ 次标签不得与主标签相同",IF(AND(ISERROR(SEARCH("条",M94)),ISERROR(SEARCH("段",M94)),ISERROR(SEARCH("项",M94))),"⑬ 条文定位须到条/款/项或段",IF(OR(N94="",O94="",P94="",Q94=""),"⑭-⑰ 五要素未填全",IF(LEN(Q94)&gt;120,"⑰ 行为模式内容超120字,请再概括",IF(S94="","⑲ 缺原文摘录",IF(LEN(S94)&gt;200,"⑲ 原文摘录超200字,说明条文选得太大",IF(AND(E94="国家",U94=""),"㉑ 国家层须填央地权限配置",IF(AND(E94="国家",V94&lt;&gt;""),"㉒ 国家层不填地方自主权类型",IF(AND(E94&lt;&gt;"国家",V94=""),"㉒ 地方层须填地方自主权类型",IF(AND(E94&lt;&gt;"国家",U94&lt;&gt;""),"㉑ 地方层不填央地权限配置",IF(W94="","㉓ 缺核实来源",IF(X94="","㉔ 缺录入人",IF(Y94="","㉕ 缺版本号","✔ 通过基础校验"))))))))))))))))))))))),"⚠ 自检公式受损(勿用剪切移动单元格),请告知老师修复")</f>
        <v/>
      </c>
    </row>
    <row r="95" customFormat="false" ht="30" hidden="false" customHeight="true" outlineLevel="0" collapsed="false">
      <c r="A95" s="36" t="str">
        <f aca="false">IF($D$4="","",IF(COUNTA($B95:$W95)+COUNTA($Y95:$AA95)=0,"",$D$4&amp;"-"&amp;TEXT(ROW()-7,"000")))</f>
        <v/>
      </c>
      <c r="B95" s="37"/>
      <c r="C95" s="37"/>
      <c r="D95" s="37"/>
      <c r="E95" s="37"/>
      <c r="F95" s="37"/>
      <c r="G95" s="38"/>
      <c r="H95" s="38"/>
      <c r="I95" s="37"/>
      <c r="J95" s="38"/>
      <c r="K95" s="37"/>
      <c r="L95" s="37"/>
      <c r="M95" s="37"/>
      <c r="N95" s="37"/>
      <c r="O95" s="37"/>
      <c r="P95" s="37"/>
      <c r="Q95" s="37"/>
      <c r="R95" s="37"/>
      <c r="S95" s="37"/>
      <c r="T95" s="37"/>
      <c r="U95" s="37"/>
      <c r="V95" s="37"/>
      <c r="W95" s="37"/>
      <c r="X95" s="36" t="str">
        <f aca="false">IF($A95="","",TRIM($B$4&amp;" "&amp;$D$4))</f>
        <v/>
      </c>
      <c r="Y95" s="37"/>
      <c r="Z95" s="38"/>
      <c r="AA95" s="37"/>
      <c r="AB95" s="39" t="str">
        <f aca="false">IFERROR(IF(COUNTA($B95:$W95)+COUNTA($Y95:$AA95)=0,"",IF(A95="","① 条目ID未生成(先在顶栏填学号与编号)",IF(COUNTIF($A$8:$A$207,A95)&gt;1,"① 条目ID重复",IF(B95="","② 缺文件名称",IF(D95="","④ 缺位阶",IF(E95="","⑤ 缺制定区域",IF(NOT(ISNUMBER(H95)),"⑧ 施行日期须为日期格式 YYYY-MM-DD",IF(AND(I95&lt;&gt;"现行有效",I95&lt;&gt;"",J95=""),"⑩ 非现行有效须填失效/修订日期",IF(AND(ISNUMBER(J95),ISNUMBER(H95),J95&lt;=H95),"⑩ 失效日期须晚于施行日期",IF(K95="","⑪ 缺主题标签(主)",IF(AND(L95&lt;&gt;"",L95=K95),"⑫ 次标签不得与主标签相同",IF(AND(ISERROR(SEARCH("条",M95)),ISERROR(SEARCH("段",M95)),ISERROR(SEARCH("项",M95))),"⑬ 条文定位须到条/款/项或段",IF(OR(N95="",O95="",P95="",Q95=""),"⑭-⑰ 五要素未填全",IF(LEN(Q95)&gt;120,"⑰ 行为模式内容超120字,请再概括",IF(S95="","⑲ 缺原文摘录",IF(LEN(S95)&gt;200,"⑲ 原文摘录超200字,说明条文选得太大",IF(AND(E95="国家",U95=""),"㉑ 国家层须填央地权限配置",IF(AND(E95="国家",V95&lt;&gt;""),"㉒ 国家层不填地方自主权类型",IF(AND(E95&lt;&gt;"国家",V95=""),"㉒ 地方层须填地方自主权类型",IF(AND(E95&lt;&gt;"国家",U95&lt;&gt;""),"㉑ 地方层不填央地权限配置",IF(W95="","㉓ 缺核实来源",IF(X95="","㉔ 缺录入人",IF(Y95="","㉕ 缺版本号","✔ 通过基础校验"))))))))))))))))))))))),"⚠ 自检公式受损(勿用剪切移动单元格),请告知老师修复")</f>
        <v/>
      </c>
    </row>
    <row r="96" customFormat="false" ht="30" hidden="false" customHeight="true" outlineLevel="0" collapsed="false">
      <c r="A96" s="36" t="str">
        <f aca="false">IF($D$4="","",IF(COUNTA($B96:$W96)+COUNTA($Y96:$AA96)=0,"",$D$4&amp;"-"&amp;TEXT(ROW()-7,"000")))</f>
        <v/>
      </c>
      <c r="B96" s="37"/>
      <c r="C96" s="37"/>
      <c r="D96" s="37"/>
      <c r="E96" s="37"/>
      <c r="F96" s="37"/>
      <c r="G96" s="38"/>
      <c r="H96" s="38"/>
      <c r="I96" s="37"/>
      <c r="J96" s="38"/>
      <c r="K96" s="37"/>
      <c r="L96" s="37"/>
      <c r="M96" s="37"/>
      <c r="N96" s="37"/>
      <c r="O96" s="37"/>
      <c r="P96" s="37"/>
      <c r="Q96" s="37"/>
      <c r="R96" s="37"/>
      <c r="S96" s="37"/>
      <c r="T96" s="37"/>
      <c r="U96" s="37"/>
      <c r="V96" s="37"/>
      <c r="W96" s="37"/>
      <c r="X96" s="36" t="str">
        <f aca="false">IF($A96="","",TRIM($B$4&amp;" "&amp;$D$4))</f>
        <v/>
      </c>
      <c r="Y96" s="37"/>
      <c r="Z96" s="38"/>
      <c r="AA96" s="37"/>
      <c r="AB96" s="39" t="str">
        <f aca="false">IFERROR(IF(COUNTA($B96:$W96)+COUNTA($Y96:$AA96)=0,"",IF(A96="","① 条目ID未生成(先在顶栏填学号与编号)",IF(COUNTIF($A$8:$A$207,A96)&gt;1,"① 条目ID重复",IF(B96="","② 缺文件名称",IF(D96="","④ 缺位阶",IF(E96="","⑤ 缺制定区域",IF(NOT(ISNUMBER(H96)),"⑧ 施行日期须为日期格式 YYYY-MM-DD",IF(AND(I96&lt;&gt;"现行有效",I96&lt;&gt;"",J96=""),"⑩ 非现行有效须填失效/修订日期",IF(AND(ISNUMBER(J96),ISNUMBER(H96),J96&lt;=H96),"⑩ 失效日期须晚于施行日期",IF(K96="","⑪ 缺主题标签(主)",IF(AND(L96&lt;&gt;"",L96=K96),"⑫ 次标签不得与主标签相同",IF(AND(ISERROR(SEARCH("条",M96)),ISERROR(SEARCH("段",M96)),ISERROR(SEARCH("项",M96))),"⑬ 条文定位须到条/款/项或段",IF(OR(N96="",O96="",P96="",Q96=""),"⑭-⑰ 五要素未填全",IF(LEN(Q96)&gt;120,"⑰ 行为模式内容超120字,请再概括",IF(S96="","⑲ 缺原文摘录",IF(LEN(S96)&gt;200,"⑲ 原文摘录超200字,说明条文选得太大",IF(AND(E96="国家",U96=""),"㉑ 国家层须填央地权限配置",IF(AND(E96="国家",V96&lt;&gt;""),"㉒ 国家层不填地方自主权类型",IF(AND(E96&lt;&gt;"国家",V96=""),"㉒ 地方层须填地方自主权类型",IF(AND(E96&lt;&gt;"国家",U96&lt;&gt;""),"㉑ 地方层不填央地权限配置",IF(W96="","㉓ 缺核实来源",IF(X96="","㉔ 缺录入人",IF(Y96="","㉕ 缺版本号","✔ 通过基础校验"))))))))))))))))))))))),"⚠ 自检公式受损(勿用剪切移动单元格),请告知老师修复")</f>
        <v/>
      </c>
    </row>
    <row r="97" customFormat="false" ht="30" hidden="false" customHeight="true" outlineLevel="0" collapsed="false">
      <c r="A97" s="36" t="str">
        <f aca="false">IF($D$4="","",IF(COUNTA($B97:$W97)+COUNTA($Y97:$AA97)=0,"",$D$4&amp;"-"&amp;TEXT(ROW()-7,"000")))</f>
        <v/>
      </c>
      <c r="B97" s="37"/>
      <c r="C97" s="37"/>
      <c r="D97" s="37"/>
      <c r="E97" s="37"/>
      <c r="F97" s="37"/>
      <c r="G97" s="38"/>
      <c r="H97" s="38"/>
      <c r="I97" s="37"/>
      <c r="J97" s="38"/>
      <c r="K97" s="37"/>
      <c r="L97" s="37"/>
      <c r="M97" s="37"/>
      <c r="N97" s="37"/>
      <c r="O97" s="37"/>
      <c r="P97" s="37"/>
      <c r="Q97" s="37"/>
      <c r="R97" s="37"/>
      <c r="S97" s="37"/>
      <c r="T97" s="37"/>
      <c r="U97" s="37"/>
      <c r="V97" s="37"/>
      <c r="W97" s="37"/>
      <c r="X97" s="36" t="str">
        <f aca="false">IF($A97="","",TRIM($B$4&amp;" "&amp;$D$4))</f>
        <v/>
      </c>
      <c r="Y97" s="37"/>
      <c r="Z97" s="38"/>
      <c r="AA97" s="37"/>
      <c r="AB97" s="39" t="str">
        <f aca="false">IFERROR(IF(COUNTA($B97:$W97)+COUNTA($Y97:$AA97)=0,"",IF(A97="","① 条目ID未生成(先在顶栏填学号与编号)",IF(COUNTIF($A$8:$A$207,A97)&gt;1,"① 条目ID重复",IF(B97="","② 缺文件名称",IF(D97="","④ 缺位阶",IF(E97="","⑤ 缺制定区域",IF(NOT(ISNUMBER(H97)),"⑧ 施行日期须为日期格式 YYYY-MM-DD",IF(AND(I97&lt;&gt;"现行有效",I97&lt;&gt;"",J97=""),"⑩ 非现行有效须填失效/修订日期",IF(AND(ISNUMBER(J97),ISNUMBER(H97),J97&lt;=H97),"⑩ 失效日期须晚于施行日期",IF(K97="","⑪ 缺主题标签(主)",IF(AND(L97&lt;&gt;"",L97=K97),"⑫ 次标签不得与主标签相同",IF(AND(ISERROR(SEARCH("条",M97)),ISERROR(SEARCH("段",M97)),ISERROR(SEARCH("项",M97))),"⑬ 条文定位须到条/款/项或段",IF(OR(N97="",O97="",P97="",Q97=""),"⑭-⑰ 五要素未填全",IF(LEN(Q97)&gt;120,"⑰ 行为模式内容超120字,请再概括",IF(S97="","⑲ 缺原文摘录",IF(LEN(S97)&gt;200,"⑲ 原文摘录超200字,说明条文选得太大",IF(AND(E97="国家",U97=""),"㉑ 国家层须填央地权限配置",IF(AND(E97="国家",V97&lt;&gt;""),"㉒ 国家层不填地方自主权类型",IF(AND(E97&lt;&gt;"国家",V97=""),"㉒ 地方层须填地方自主权类型",IF(AND(E97&lt;&gt;"国家",U97&lt;&gt;""),"㉑ 地方层不填央地权限配置",IF(W97="","㉓ 缺核实来源",IF(X97="","㉔ 缺录入人",IF(Y97="","㉕ 缺版本号","✔ 通过基础校验"))))))))))))))))))))))),"⚠ 自检公式受损(勿用剪切移动单元格),请告知老师修复")</f>
        <v/>
      </c>
    </row>
    <row r="98" customFormat="false" ht="30" hidden="false" customHeight="true" outlineLevel="0" collapsed="false">
      <c r="A98" s="36" t="str">
        <f aca="false">IF($D$4="","",IF(COUNTA($B98:$W98)+COUNTA($Y98:$AA98)=0,"",$D$4&amp;"-"&amp;TEXT(ROW()-7,"000")))</f>
        <v/>
      </c>
      <c r="B98" s="37"/>
      <c r="C98" s="37"/>
      <c r="D98" s="37"/>
      <c r="E98" s="37"/>
      <c r="F98" s="37"/>
      <c r="G98" s="38"/>
      <c r="H98" s="38"/>
      <c r="I98" s="37"/>
      <c r="J98" s="38"/>
      <c r="K98" s="37"/>
      <c r="L98" s="37"/>
      <c r="M98" s="37"/>
      <c r="N98" s="37"/>
      <c r="O98" s="37"/>
      <c r="P98" s="37"/>
      <c r="Q98" s="37"/>
      <c r="R98" s="37"/>
      <c r="S98" s="37"/>
      <c r="T98" s="37"/>
      <c r="U98" s="37"/>
      <c r="V98" s="37"/>
      <c r="W98" s="37"/>
      <c r="X98" s="36" t="str">
        <f aca="false">IF($A98="","",TRIM($B$4&amp;" "&amp;$D$4))</f>
        <v/>
      </c>
      <c r="Y98" s="37"/>
      <c r="Z98" s="38"/>
      <c r="AA98" s="37"/>
      <c r="AB98" s="39" t="str">
        <f aca="false">IFERROR(IF(COUNTA($B98:$W98)+COUNTA($Y98:$AA98)=0,"",IF(A98="","① 条目ID未生成(先在顶栏填学号与编号)",IF(COUNTIF($A$8:$A$207,A98)&gt;1,"① 条目ID重复",IF(B98="","② 缺文件名称",IF(D98="","④ 缺位阶",IF(E98="","⑤ 缺制定区域",IF(NOT(ISNUMBER(H98)),"⑧ 施行日期须为日期格式 YYYY-MM-DD",IF(AND(I98&lt;&gt;"现行有效",I98&lt;&gt;"",J98=""),"⑩ 非现行有效须填失效/修订日期",IF(AND(ISNUMBER(J98),ISNUMBER(H98),J98&lt;=H98),"⑩ 失效日期须晚于施行日期",IF(K98="","⑪ 缺主题标签(主)",IF(AND(L98&lt;&gt;"",L98=K98),"⑫ 次标签不得与主标签相同",IF(AND(ISERROR(SEARCH("条",M98)),ISERROR(SEARCH("段",M98)),ISERROR(SEARCH("项",M98))),"⑬ 条文定位须到条/款/项或段",IF(OR(N98="",O98="",P98="",Q98=""),"⑭-⑰ 五要素未填全",IF(LEN(Q98)&gt;120,"⑰ 行为模式内容超120字,请再概括",IF(S98="","⑲ 缺原文摘录",IF(LEN(S98)&gt;200,"⑲ 原文摘录超200字,说明条文选得太大",IF(AND(E98="国家",U98=""),"㉑ 国家层须填央地权限配置",IF(AND(E98="国家",V98&lt;&gt;""),"㉒ 国家层不填地方自主权类型",IF(AND(E98&lt;&gt;"国家",V98=""),"㉒ 地方层须填地方自主权类型",IF(AND(E98&lt;&gt;"国家",U98&lt;&gt;""),"㉑ 地方层不填央地权限配置",IF(W98="","㉓ 缺核实来源",IF(X98="","㉔ 缺录入人",IF(Y98="","㉕ 缺版本号","✔ 通过基础校验"))))))))))))))))))))))),"⚠ 自检公式受损(勿用剪切移动单元格),请告知老师修复")</f>
        <v/>
      </c>
    </row>
    <row r="99" customFormat="false" ht="30" hidden="false" customHeight="true" outlineLevel="0" collapsed="false">
      <c r="A99" s="36" t="str">
        <f aca="false">IF($D$4="","",IF(COUNTA($B99:$W99)+COUNTA($Y99:$AA99)=0,"",$D$4&amp;"-"&amp;TEXT(ROW()-7,"000")))</f>
        <v/>
      </c>
      <c r="B99" s="37"/>
      <c r="C99" s="37"/>
      <c r="D99" s="37"/>
      <c r="E99" s="37"/>
      <c r="F99" s="37"/>
      <c r="G99" s="38"/>
      <c r="H99" s="38"/>
      <c r="I99" s="37"/>
      <c r="J99" s="38"/>
      <c r="K99" s="37"/>
      <c r="L99" s="37"/>
      <c r="M99" s="37"/>
      <c r="N99" s="37"/>
      <c r="O99" s="37"/>
      <c r="P99" s="37"/>
      <c r="Q99" s="37"/>
      <c r="R99" s="37"/>
      <c r="S99" s="37"/>
      <c r="T99" s="37"/>
      <c r="U99" s="37"/>
      <c r="V99" s="37"/>
      <c r="W99" s="37"/>
      <c r="X99" s="36" t="str">
        <f aca="false">IF($A99="","",TRIM($B$4&amp;" "&amp;$D$4))</f>
        <v/>
      </c>
      <c r="Y99" s="37"/>
      <c r="Z99" s="38"/>
      <c r="AA99" s="37"/>
      <c r="AB99" s="39" t="str">
        <f aca="false">IFERROR(IF(COUNTA($B99:$W99)+COUNTA($Y99:$AA99)=0,"",IF(A99="","① 条目ID未生成(先在顶栏填学号与编号)",IF(COUNTIF($A$8:$A$207,A99)&gt;1,"① 条目ID重复",IF(B99="","② 缺文件名称",IF(D99="","④ 缺位阶",IF(E99="","⑤ 缺制定区域",IF(NOT(ISNUMBER(H99)),"⑧ 施行日期须为日期格式 YYYY-MM-DD",IF(AND(I99&lt;&gt;"现行有效",I99&lt;&gt;"",J99=""),"⑩ 非现行有效须填失效/修订日期",IF(AND(ISNUMBER(J99),ISNUMBER(H99),J99&lt;=H99),"⑩ 失效日期须晚于施行日期",IF(K99="","⑪ 缺主题标签(主)",IF(AND(L99&lt;&gt;"",L99=K99),"⑫ 次标签不得与主标签相同",IF(AND(ISERROR(SEARCH("条",M99)),ISERROR(SEARCH("段",M99)),ISERROR(SEARCH("项",M99))),"⑬ 条文定位须到条/款/项或段",IF(OR(N99="",O99="",P99="",Q99=""),"⑭-⑰ 五要素未填全",IF(LEN(Q99)&gt;120,"⑰ 行为模式内容超120字,请再概括",IF(S99="","⑲ 缺原文摘录",IF(LEN(S99)&gt;200,"⑲ 原文摘录超200字,说明条文选得太大",IF(AND(E99="国家",U99=""),"㉑ 国家层须填央地权限配置",IF(AND(E99="国家",V99&lt;&gt;""),"㉒ 国家层不填地方自主权类型",IF(AND(E99&lt;&gt;"国家",V99=""),"㉒ 地方层须填地方自主权类型",IF(AND(E99&lt;&gt;"国家",U99&lt;&gt;""),"㉑ 地方层不填央地权限配置",IF(W99="","㉓ 缺核实来源",IF(X99="","㉔ 缺录入人",IF(Y99="","㉕ 缺版本号","✔ 通过基础校验"))))))))))))))))))))))),"⚠ 自检公式受损(勿用剪切移动单元格),请告知老师修复")</f>
        <v/>
      </c>
    </row>
    <row r="100" customFormat="false" ht="30" hidden="false" customHeight="true" outlineLevel="0" collapsed="false">
      <c r="A100" s="36" t="str">
        <f aca="false">IF($D$4="","",IF(COUNTA($B100:$W100)+COUNTA($Y100:$AA100)=0,"",$D$4&amp;"-"&amp;TEXT(ROW()-7,"000")))</f>
        <v/>
      </c>
      <c r="B100" s="37"/>
      <c r="C100" s="37"/>
      <c r="D100" s="37"/>
      <c r="E100" s="37"/>
      <c r="F100" s="37"/>
      <c r="G100" s="38"/>
      <c r="H100" s="38"/>
      <c r="I100" s="37"/>
      <c r="J100" s="38"/>
      <c r="K100" s="37"/>
      <c r="L100" s="37"/>
      <c r="M100" s="37"/>
      <c r="N100" s="37"/>
      <c r="O100" s="37"/>
      <c r="P100" s="37"/>
      <c r="Q100" s="37"/>
      <c r="R100" s="37"/>
      <c r="S100" s="37"/>
      <c r="T100" s="37"/>
      <c r="U100" s="37"/>
      <c r="V100" s="37"/>
      <c r="W100" s="37"/>
      <c r="X100" s="36" t="str">
        <f aca="false">IF($A100="","",TRIM($B$4&amp;" "&amp;$D$4))</f>
        <v/>
      </c>
      <c r="Y100" s="37"/>
      <c r="Z100" s="38"/>
      <c r="AA100" s="37"/>
      <c r="AB100" s="39" t="str">
        <f aca="false">IFERROR(IF(COUNTA($B100:$W100)+COUNTA($Y100:$AA100)=0,"",IF(A100="","① 条目ID未生成(先在顶栏填学号与编号)",IF(COUNTIF($A$8:$A$207,A100)&gt;1,"① 条目ID重复",IF(B100="","② 缺文件名称",IF(D100="","④ 缺位阶",IF(E100="","⑤ 缺制定区域",IF(NOT(ISNUMBER(H100)),"⑧ 施行日期须为日期格式 YYYY-MM-DD",IF(AND(I100&lt;&gt;"现行有效",I100&lt;&gt;"",J100=""),"⑩ 非现行有效须填失效/修订日期",IF(AND(ISNUMBER(J100),ISNUMBER(H100),J100&lt;=H100),"⑩ 失效日期须晚于施行日期",IF(K100="","⑪ 缺主题标签(主)",IF(AND(L100&lt;&gt;"",L100=K100),"⑫ 次标签不得与主标签相同",IF(AND(ISERROR(SEARCH("条",M100)),ISERROR(SEARCH("段",M100)),ISERROR(SEARCH("项",M100))),"⑬ 条文定位须到条/款/项或段",IF(OR(N100="",O100="",P100="",Q100=""),"⑭-⑰ 五要素未填全",IF(LEN(Q100)&gt;120,"⑰ 行为模式内容超120字,请再概括",IF(S100="","⑲ 缺原文摘录",IF(LEN(S100)&gt;200,"⑲ 原文摘录超200字,说明条文选得太大",IF(AND(E100="国家",U100=""),"㉑ 国家层须填央地权限配置",IF(AND(E100="国家",V100&lt;&gt;""),"㉒ 国家层不填地方自主权类型",IF(AND(E100&lt;&gt;"国家",V100=""),"㉒ 地方层须填地方自主权类型",IF(AND(E100&lt;&gt;"国家",U100&lt;&gt;""),"㉑ 地方层不填央地权限配置",IF(W100="","㉓ 缺核实来源",IF(X100="","㉔ 缺录入人",IF(Y100="","㉕ 缺版本号","✔ 通过基础校验"))))))))))))))))))))))),"⚠ 自检公式受损(勿用剪切移动单元格),请告知老师修复")</f>
        <v/>
      </c>
    </row>
    <row r="101" customFormat="false" ht="30" hidden="false" customHeight="true" outlineLevel="0" collapsed="false">
      <c r="A101" s="36" t="str">
        <f aca="false">IF($D$4="","",IF(COUNTA($B101:$W101)+COUNTA($Y101:$AA101)=0,"",$D$4&amp;"-"&amp;TEXT(ROW()-7,"000")))</f>
        <v/>
      </c>
      <c r="B101" s="37"/>
      <c r="C101" s="37"/>
      <c r="D101" s="37"/>
      <c r="E101" s="37"/>
      <c r="F101" s="37"/>
      <c r="G101" s="38"/>
      <c r="H101" s="38"/>
      <c r="I101" s="37"/>
      <c r="J101" s="38"/>
      <c r="K101" s="37"/>
      <c r="L101" s="37"/>
      <c r="M101" s="37"/>
      <c r="N101" s="37"/>
      <c r="O101" s="37"/>
      <c r="P101" s="37"/>
      <c r="Q101" s="37"/>
      <c r="R101" s="37"/>
      <c r="S101" s="37"/>
      <c r="T101" s="37"/>
      <c r="U101" s="37"/>
      <c r="V101" s="37"/>
      <c r="W101" s="37"/>
      <c r="X101" s="36" t="str">
        <f aca="false">IF($A101="","",TRIM($B$4&amp;" "&amp;$D$4))</f>
        <v/>
      </c>
      <c r="Y101" s="37"/>
      <c r="Z101" s="38"/>
      <c r="AA101" s="37"/>
      <c r="AB101" s="39" t="str">
        <f aca="false">IFERROR(IF(COUNTA($B101:$W101)+COUNTA($Y101:$AA101)=0,"",IF(A101="","① 条目ID未生成(先在顶栏填学号与编号)",IF(COUNTIF($A$8:$A$207,A101)&gt;1,"① 条目ID重复",IF(B101="","② 缺文件名称",IF(D101="","④ 缺位阶",IF(E101="","⑤ 缺制定区域",IF(NOT(ISNUMBER(H101)),"⑧ 施行日期须为日期格式 YYYY-MM-DD",IF(AND(I101&lt;&gt;"现行有效",I101&lt;&gt;"",J101=""),"⑩ 非现行有效须填失效/修订日期",IF(AND(ISNUMBER(J101),ISNUMBER(H101),J101&lt;=H101),"⑩ 失效日期须晚于施行日期",IF(K101="","⑪ 缺主题标签(主)",IF(AND(L101&lt;&gt;"",L101=K101),"⑫ 次标签不得与主标签相同",IF(AND(ISERROR(SEARCH("条",M101)),ISERROR(SEARCH("段",M101)),ISERROR(SEARCH("项",M101))),"⑬ 条文定位须到条/款/项或段",IF(OR(N101="",O101="",P101="",Q101=""),"⑭-⑰ 五要素未填全",IF(LEN(Q101)&gt;120,"⑰ 行为模式内容超120字,请再概括",IF(S101="","⑲ 缺原文摘录",IF(LEN(S101)&gt;200,"⑲ 原文摘录超200字,说明条文选得太大",IF(AND(E101="国家",U101=""),"㉑ 国家层须填央地权限配置",IF(AND(E101="国家",V101&lt;&gt;""),"㉒ 国家层不填地方自主权类型",IF(AND(E101&lt;&gt;"国家",V101=""),"㉒ 地方层须填地方自主权类型",IF(AND(E101&lt;&gt;"国家",U101&lt;&gt;""),"㉑ 地方层不填央地权限配置",IF(W101="","㉓ 缺核实来源",IF(X101="","㉔ 缺录入人",IF(Y101="","㉕ 缺版本号","✔ 通过基础校验"))))))))))))))))))))))),"⚠ 自检公式受损(勿用剪切移动单元格),请告知老师修复")</f>
        <v/>
      </c>
    </row>
    <row r="102" customFormat="false" ht="30" hidden="false" customHeight="true" outlineLevel="0" collapsed="false">
      <c r="A102" s="36" t="str">
        <f aca="false">IF($D$4="","",IF(COUNTA($B102:$W102)+COUNTA($Y102:$AA102)=0,"",$D$4&amp;"-"&amp;TEXT(ROW()-7,"000")))</f>
        <v/>
      </c>
      <c r="B102" s="37"/>
      <c r="C102" s="37"/>
      <c r="D102" s="37"/>
      <c r="E102" s="37"/>
      <c r="F102" s="37"/>
      <c r="G102" s="38"/>
      <c r="H102" s="38"/>
      <c r="I102" s="37"/>
      <c r="J102" s="38"/>
      <c r="K102" s="37"/>
      <c r="L102" s="37"/>
      <c r="M102" s="37"/>
      <c r="N102" s="37"/>
      <c r="O102" s="37"/>
      <c r="P102" s="37"/>
      <c r="Q102" s="37"/>
      <c r="R102" s="37"/>
      <c r="S102" s="37"/>
      <c r="T102" s="37"/>
      <c r="U102" s="37"/>
      <c r="V102" s="37"/>
      <c r="W102" s="37"/>
      <c r="X102" s="36" t="str">
        <f aca="false">IF($A102="","",TRIM($B$4&amp;" "&amp;$D$4))</f>
        <v/>
      </c>
      <c r="Y102" s="37"/>
      <c r="Z102" s="38"/>
      <c r="AA102" s="37"/>
      <c r="AB102" s="39" t="str">
        <f aca="false">IFERROR(IF(COUNTA($B102:$W102)+COUNTA($Y102:$AA102)=0,"",IF(A102="","① 条目ID未生成(先在顶栏填学号与编号)",IF(COUNTIF($A$8:$A$207,A102)&gt;1,"① 条目ID重复",IF(B102="","② 缺文件名称",IF(D102="","④ 缺位阶",IF(E102="","⑤ 缺制定区域",IF(NOT(ISNUMBER(H102)),"⑧ 施行日期须为日期格式 YYYY-MM-DD",IF(AND(I102&lt;&gt;"现行有效",I102&lt;&gt;"",J102=""),"⑩ 非现行有效须填失效/修订日期",IF(AND(ISNUMBER(J102),ISNUMBER(H102),J102&lt;=H102),"⑩ 失效日期须晚于施行日期",IF(K102="","⑪ 缺主题标签(主)",IF(AND(L102&lt;&gt;"",L102=K102),"⑫ 次标签不得与主标签相同",IF(AND(ISERROR(SEARCH("条",M102)),ISERROR(SEARCH("段",M102)),ISERROR(SEARCH("项",M102))),"⑬ 条文定位须到条/款/项或段",IF(OR(N102="",O102="",P102="",Q102=""),"⑭-⑰ 五要素未填全",IF(LEN(Q102)&gt;120,"⑰ 行为模式内容超120字,请再概括",IF(S102="","⑲ 缺原文摘录",IF(LEN(S102)&gt;200,"⑲ 原文摘录超200字,说明条文选得太大",IF(AND(E102="国家",U102=""),"㉑ 国家层须填央地权限配置",IF(AND(E102="国家",V102&lt;&gt;""),"㉒ 国家层不填地方自主权类型",IF(AND(E102&lt;&gt;"国家",V102=""),"㉒ 地方层须填地方自主权类型",IF(AND(E102&lt;&gt;"国家",U102&lt;&gt;""),"㉑ 地方层不填央地权限配置",IF(W102="","㉓ 缺核实来源",IF(X102="","㉔ 缺录入人",IF(Y102="","㉕ 缺版本号","✔ 通过基础校验"))))))))))))))))))))))),"⚠ 自检公式受损(勿用剪切移动单元格),请告知老师修复")</f>
        <v/>
      </c>
    </row>
    <row r="103" customFormat="false" ht="30" hidden="false" customHeight="true" outlineLevel="0" collapsed="false">
      <c r="A103" s="36" t="str">
        <f aca="false">IF($D$4="","",IF(COUNTA($B103:$W103)+COUNTA($Y103:$AA103)=0,"",$D$4&amp;"-"&amp;TEXT(ROW()-7,"000")))</f>
        <v/>
      </c>
      <c r="B103" s="37"/>
      <c r="C103" s="37"/>
      <c r="D103" s="37"/>
      <c r="E103" s="37"/>
      <c r="F103" s="37"/>
      <c r="G103" s="38"/>
      <c r="H103" s="38"/>
      <c r="I103" s="37"/>
      <c r="J103" s="38"/>
      <c r="K103" s="37"/>
      <c r="L103" s="37"/>
      <c r="M103" s="37"/>
      <c r="N103" s="37"/>
      <c r="O103" s="37"/>
      <c r="P103" s="37"/>
      <c r="Q103" s="37"/>
      <c r="R103" s="37"/>
      <c r="S103" s="37"/>
      <c r="T103" s="37"/>
      <c r="U103" s="37"/>
      <c r="V103" s="37"/>
      <c r="W103" s="37"/>
      <c r="X103" s="36" t="str">
        <f aca="false">IF($A103="","",TRIM($B$4&amp;" "&amp;$D$4))</f>
        <v/>
      </c>
      <c r="Y103" s="37"/>
      <c r="Z103" s="38"/>
      <c r="AA103" s="37"/>
      <c r="AB103" s="39" t="str">
        <f aca="false">IFERROR(IF(COUNTA($B103:$W103)+COUNTA($Y103:$AA103)=0,"",IF(A103="","① 条目ID未生成(先在顶栏填学号与编号)",IF(COUNTIF($A$8:$A$207,A103)&gt;1,"① 条目ID重复",IF(B103="","② 缺文件名称",IF(D103="","④ 缺位阶",IF(E103="","⑤ 缺制定区域",IF(NOT(ISNUMBER(H103)),"⑧ 施行日期须为日期格式 YYYY-MM-DD",IF(AND(I103&lt;&gt;"现行有效",I103&lt;&gt;"",J103=""),"⑩ 非现行有效须填失效/修订日期",IF(AND(ISNUMBER(J103),ISNUMBER(H103),J103&lt;=H103),"⑩ 失效日期须晚于施行日期",IF(K103="","⑪ 缺主题标签(主)",IF(AND(L103&lt;&gt;"",L103=K103),"⑫ 次标签不得与主标签相同",IF(AND(ISERROR(SEARCH("条",M103)),ISERROR(SEARCH("段",M103)),ISERROR(SEARCH("项",M103))),"⑬ 条文定位须到条/款/项或段",IF(OR(N103="",O103="",P103="",Q103=""),"⑭-⑰ 五要素未填全",IF(LEN(Q103)&gt;120,"⑰ 行为模式内容超120字,请再概括",IF(S103="","⑲ 缺原文摘录",IF(LEN(S103)&gt;200,"⑲ 原文摘录超200字,说明条文选得太大",IF(AND(E103="国家",U103=""),"㉑ 国家层须填央地权限配置",IF(AND(E103="国家",V103&lt;&gt;""),"㉒ 国家层不填地方自主权类型",IF(AND(E103&lt;&gt;"国家",V103=""),"㉒ 地方层须填地方自主权类型",IF(AND(E103&lt;&gt;"国家",U103&lt;&gt;""),"㉑ 地方层不填央地权限配置",IF(W103="","㉓ 缺核实来源",IF(X103="","㉔ 缺录入人",IF(Y103="","㉕ 缺版本号","✔ 通过基础校验"))))))))))))))))))))))),"⚠ 自检公式受损(勿用剪切移动单元格),请告知老师修复")</f>
        <v/>
      </c>
    </row>
    <row r="104" customFormat="false" ht="30" hidden="false" customHeight="true" outlineLevel="0" collapsed="false">
      <c r="A104" s="36" t="str">
        <f aca="false">IF($D$4="","",IF(COUNTA($B104:$W104)+COUNTA($Y104:$AA104)=0,"",$D$4&amp;"-"&amp;TEXT(ROW()-7,"000")))</f>
        <v/>
      </c>
      <c r="B104" s="37"/>
      <c r="C104" s="37"/>
      <c r="D104" s="37"/>
      <c r="E104" s="37"/>
      <c r="F104" s="37"/>
      <c r="G104" s="38"/>
      <c r="H104" s="38"/>
      <c r="I104" s="37"/>
      <c r="J104" s="38"/>
      <c r="K104" s="37"/>
      <c r="L104" s="37"/>
      <c r="M104" s="37"/>
      <c r="N104" s="37"/>
      <c r="O104" s="37"/>
      <c r="P104" s="37"/>
      <c r="Q104" s="37"/>
      <c r="R104" s="37"/>
      <c r="S104" s="37"/>
      <c r="T104" s="37"/>
      <c r="U104" s="37"/>
      <c r="V104" s="37"/>
      <c r="W104" s="37"/>
      <c r="X104" s="36" t="str">
        <f aca="false">IF($A104="","",TRIM($B$4&amp;" "&amp;$D$4))</f>
        <v/>
      </c>
      <c r="Y104" s="37"/>
      <c r="Z104" s="38"/>
      <c r="AA104" s="37"/>
      <c r="AB104" s="39" t="str">
        <f aca="false">IFERROR(IF(COUNTA($B104:$W104)+COUNTA($Y104:$AA104)=0,"",IF(A104="","① 条目ID未生成(先在顶栏填学号与编号)",IF(COUNTIF($A$8:$A$207,A104)&gt;1,"① 条目ID重复",IF(B104="","② 缺文件名称",IF(D104="","④ 缺位阶",IF(E104="","⑤ 缺制定区域",IF(NOT(ISNUMBER(H104)),"⑧ 施行日期须为日期格式 YYYY-MM-DD",IF(AND(I104&lt;&gt;"现行有效",I104&lt;&gt;"",J104=""),"⑩ 非现行有效须填失效/修订日期",IF(AND(ISNUMBER(J104),ISNUMBER(H104),J104&lt;=H104),"⑩ 失效日期须晚于施行日期",IF(K104="","⑪ 缺主题标签(主)",IF(AND(L104&lt;&gt;"",L104=K104),"⑫ 次标签不得与主标签相同",IF(AND(ISERROR(SEARCH("条",M104)),ISERROR(SEARCH("段",M104)),ISERROR(SEARCH("项",M104))),"⑬ 条文定位须到条/款/项或段",IF(OR(N104="",O104="",P104="",Q104=""),"⑭-⑰ 五要素未填全",IF(LEN(Q104)&gt;120,"⑰ 行为模式内容超120字,请再概括",IF(S104="","⑲ 缺原文摘录",IF(LEN(S104)&gt;200,"⑲ 原文摘录超200字,说明条文选得太大",IF(AND(E104="国家",U104=""),"㉑ 国家层须填央地权限配置",IF(AND(E104="国家",V104&lt;&gt;""),"㉒ 国家层不填地方自主权类型",IF(AND(E104&lt;&gt;"国家",V104=""),"㉒ 地方层须填地方自主权类型",IF(AND(E104&lt;&gt;"国家",U104&lt;&gt;""),"㉑ 地方层不填央地权限配置",IF(W104="","㉓ 缺核实来源",IF(X104="","㉔ 缺录入人",IF(Y104="","㉕ 缺版本号","✔ 通过基础校验"))))))))))))))))))))))),"⚠ 自检公式受损(勿用剪切移动单元格),请告知老师修复")</f>
        <v/>
      </c>
    </row>
    <row r="105" customFormat="false" ht="30" hidden="false" customHeight="true" outlineLevel="0" collapsed="false">
      <c r="A105" s="36" t="str">
        <f aca="false">IF($D$4="","",IF(COUNTA($B105:$W105)+COUNTA($Y105:$AA105)=0,"",$D$4&amp;"-"&amp;TEXT(ROW()-7,"000")))</f>
        <v/>
      </c>
      <c r="B105" s="37"/>
      <c r="C105" s="37"/>
      <c r="D105" s="37"/>
      <c r="E105" s="37"/>
      <c r="F105" s="37"/>
      <c r="G105" s="38"/>
      <c r="H105" s="38"/>
      <c r="I105" s="37"/>
      <c r="J105" s="38"/>
      <c r="K105" s="37"/>
      <c r="L105" s="37"/>
      <c r="M105" s="37"/>
      <c r="N105" s="37"/>
      <c r="O105" s="37"/>
      <c r="P105" s="37"/>
      <c r="Q105" s="37"/>
      <c r="R105" s="37"/>
      <c r="S105" s="37"/>
      <c r="T105" s="37"/>
      <c r="U105" s="37"/>
      <c r="V105" s="37"/>
      <c r="W105" s="37"/>
      <c r="X105" s="36" t="str">
        <f aca="false">IF($A105="","",TRIM($B$4&amp;" "&amp;$D$4))</f>
        <v/>
      </c>
      <c r="Y105" s="37"/>
      <c r="Z105" s="38"/>
      <c r="AA105" s="37"/>
      <c r="AB105" s="39" t="str">
        <f aca="false">IFERROR(IF(COUNTA($B105:$W105)+COUNTA($Y105:$AA105)=0,"",IF(A105="","① 条目ID未生成(先在顶栏填学号与编号)",IF(COUNTIF($A$8:$A$207,A105)&gt;1,"① 条目ID重复",IF(B105="","② 缺文件名称",IF(D105="","④ 缺位阶",IF(E105="","⑤ 缺制定区域",IF(NOT(ISNUMBER(H105)),"⑧ 施行日期须为日期格式 YYYY-MM-DD",IF(AND(I105&lt;&gt;"现行有效",I105&lt;&gt;"",J105=""),"⑩ 非现行有效须填失效/修订日期",IF(AND(ISNUMBER(J105),ISNUMBER(H105),J105&lt;=H105),"⑩ 失效日期须晚于施行日期",IF(K105="","⑪ 缺主题标签(主)",IF(AND(L105&lt;&gt;"",L105=K105),"⑫ 次标签不得与主标签相同",IF(AND(ISERROR(SEARCH("条",M105)),ISERROR(SEARCH("段",M105)),ISERROR(SEARCH("项",M105))),"⑬ 条文定位须到条/款/项或段",IF(OR(N105="",O105="",P105="",Q105=""),"⑭-⑰ 五要素未填全",IF(LEN(Q105)&gt;120,"⑰ 行为模式内容超120字,请再概括",IF(S105="","⑲ 缺原文摘录",IF(LEN(S105)&gt;200,"⑲ 原文摘录超200字,说明条文选得太大",IF(AND(E105="国家",U105=""),"㉑ 国家层须填央地权限配置",IF(AND(E105="国家",V105&lt;&gt;""),"㉒ 国家层不填地方自主权类型",IF(AND(E105&lt;&gt;"国家",V105=""),"㉒ 地方层须填地方自主权类型",IF(AND(E105&lt;&gt;"国家",U105&lt;&gt;""),"㉑ 地方层不填央地权限配置",IF(W105="","㉓ 缺核实来源",IF(X105="","㉔ 缺录入人",IF(Y105="","㉕ 缺版本号","✔ 通过基础校验"))))))))))))))))))))))),"⚠ 自检公式受损(勿用剪切移动单元格),请告知老师修复")</f>
        <v/>
      </c>
    </row>
    <row r="106" customFormat="false" ht="30" hidden="false" customHeight="true" outlineLevel="0" collapsed="false">
      <c r="A106" s="36" t="str">
        <f aca="false">IF($D$4="","",IF(COUNTA($B106:$W106)+COUNTA($Y106:$AA106)=0,"",$D$4&amp;"-"&amp;TEXT(ROW()-7,"000")))</f>
        <v/>
      </c>
      <c r="B106" s="37"/>
      <c r="C106" s="37"/>
      <c r="D106" s="37"/>
      <c r="E106" s="37"/>
      <c r="F106" s="37"/>
      <c r="G106" s="38"/>
      <c r="H106" s="38"/>
      <c r="I106" s="37"/>
      <c r="J106" s="38"/>
      <c r="K106" s="37"/>
      <c r="L106" s="37"/>
      <c r="M106" s="37"/>
      <c r="N106" s="37"/>
      <c r="O106" s="37"/>
      <c r="P106" s="37"/>
      <c r="Q106" s="37"/>
      <c r="R106" s="37"/>
      <c r="S106" s="37"/>
      <c r="T106" s="37"/>
      <c r="U106" s="37"/>
      <c r="V106" s="37"/>
      <c r="W106" s="37"/>
      <c r="X106" s="36" t="str">
        <f aca="false">IF($A106="","",TRIM($B$4&amp;" "&amp;$D$4))</f>
        <v/>
      </c>
      <c r="Y106" s="37"/>
      <c r="Z106" s="38"/>
      <c r="AA106" s="37"/>
      <c r="AB106" s="39" t="str">
        <f aca="false">IFERROR(IF(COUNTA($B106:$W106)+COUNTA($Y106:$AA106)=0,"",IF(A106="","① 条目ID未生成(先在顶栏填学号与编号)",IF(COUNTIF($A$8:$A$207,A106)&gt;1,"① 条目ID重复",IF(B106="","② 缺文件名称",IF(D106="","④ 缺位阶",IF(E106="","⑤ 缺制定区域",IF(NOT(ISNUMBER(H106)),"⑧ 施行日期须为日期格式 YYYY-MM-DD",IF(AND(I106&lt;&gt;"现行有效",I106&lt;&gt;"",J106=""),"⑩ 非现行有效须填失效/修订日期",IF(AND(ISNUMBER(J106),ISNUMBER(H106),J106&lt;=H106),"⑩ 失效日期须晚于施行日期",IF(K106="","⑪ 缺主题标签(主)",IF(AND(L106&lt;&gt;"",L106=K106),"⑫ 次标签不得与主标签相同",IF(AND(ISERROR(SEARCH("条",M106)),ISERROR(SEARCH("段",M106)),ISERROR(SEARCH("项",M106))),"⑬ 条文定位须到条/款/项或段",IF(OR(N106="",O106="",P106="",Q106=""),"⑭-⑰ 五要素未填全",IF(LEN(Q106)&gt;120,"⑰ 行为模式内容超120字,请再概括",IF(S106="","⑲ 缺原文摘录",IF(LEN(S106)&gt;200,"⑲ 原文摘录超200字,说明条文选得太大",IF(AND(E106="国家",U106=""),"㉑ 国家层须填央地权限配置",IF(AND(E106="国家",V106&lt;&gt;""),"㉒ 国家层不填地方自主权类型",IF(AND(E106&lt;&gt;"国家",V106=""),"㉒ 地方层须填地方自主权类型",IF(AND(E106&lt;&gt;"国家",U106&lt;&gt;""),"㉑ 地方层不填央地权限配置",IF(W106="","㉓ 缺核实来源",IF(X106="","㉔ 缺录入人",IF(Y106="","㉕ 缺版本号","✔ 通过基础校验"))))))))))))))))))))))),"⚠ 自检公式受损(勿用剪切移动单元格),请告知老师修复")</f>
        <v/>
      </c>
    </row>
    <row r="107" customFormat="false" ht="30" hidden="false" customHeight="true" outlineLevel="0" collapsed="false">
      <c r="A107" s="36" t="str">
        <f aca="false">IF($D$4="","",IF(COUNTA($B107:$W107)+COUNTA($Y107:$AA107)=0,"",$D$4&amp;"-"&amp;TEXT(ROW()-7,"000")))</f>
        <v/>
      </c>
      <c r="B107" s="37"/>
      <c r="C107" s="37"/>
      <c r="D107" s="37"/>
      <c r="E107" s="37"/>
      <c r="F107" s="37"/>
      <c r="G107" s="38"/>
      <c r="H107" s="38"/>
      <c r="I107" s="37"/>
      <c r="J107" s="38"/>
      <c r="K107" s="37"/>
      <c r="L107" s="37"/>
      <c r="M107" s="37"/>
      <c r="N107" s="37"/>
      <c r="O107" s="37"/>
      <c r="P107" s="37"/>
      <c r="Q107" s="37"/>
      <c r="R107" s="37"/>
      <c r="S107" s="37"/>
      <c r="T107" s="37"/>
      <c r="U107" s="37"/>
      <c r="V107" s="37"/>
      <c r="W107" s="37"/>
      <c r="X107" s="36" t="str">
        <f aca="false">IF($A107="","",TRIM($B$4&amp;" "&amp;$D$4))</f>
        <v/>
      </c>
      <c r="Y107" s="37"/>
      <c r="Z107" s="38"/>
      <c r="AA107" s="37"/>
      <c r="AB107" s="39" t="str">
        <f aca="false">IFERROR(IF(COUNTA($B107:$W107)+COUNTA($Y107:$AA107)=0,"",IF(A107="","① 条目ID未生成(先在顶栏填学号与编号)",IF(COUNTIF($A$8:$A$207,A107)&gt;1,"① 条目ID重复",IF(B107="","② 缺文件名称",IF(D107="","④ 缺位阶",IF(E107="","⑤ 缺制定区域",IF(NOT(ISNUMBER(H107)),"⑧ 施行日期须为日期格式 YYYY-MM-DD",IF(AND(I107&lt;&gt;"现行有效",I107&lt;&gt;"",J107=""),"⑩ 非现行有效须填失效/修订日期",IF(AND(ISNUMBER(J107),ISNUMBER(H107),J107&lt;=H107),"⑩ 失效日期须晚于施行日期",IF(K107="","⑪ 缺主题标签(主)",IF(AND(L107&lt;&gt;"",L107=K107),"⑫ 次标签不得与主标签相同",IF(AND(ISERROR(SEARCH("条",M107)),ISERROR(SEARCH("段",M107)),ISERROR(SEARCH("项",M107))),"⑬ 条文定位须到条/款/项或段",IF(OR(N107="",O107="",P107="",Q107=""),"⑭-⑰ 五要素未填全",IF(LEN(Q107)&gt;120,"⑰ 行为模式内容超120字,请再概括",IF(S107="","⑲ 缺原文摘录",IF(LEN(S107)&gt;200,"⑲ 原文摘录超200字,说明条文选得太大",IF(AND(E107="国家",U107=""),"㉑ 国家层须填央地权限配置",IF(AND(E107="国家",V107&lt;&gt;""),"㉒ 国家层不填地方自主权类型",IF(AND(E107&lt;&gt;"国家",V107=""),"㉒ 地方层须填地方自主权类型",IF(AND(E107&lt;&gt;"国家",U107&lt;&gt;""),"㉑ 地方层不填央地权限配置",IF(W107="","㉓ 缺核实来源",IF(X107="","㉔ 缺录入人",IF(Y107="","㉕ 缺版本号","✔ 通过基础校验"))))))))))))))))))))))),"⚠ 自检公式受损(勿用剪切移动单元格),请告知老师修复")</f>
        <v/>
      </c>
    </row>
    <row r="108" customFormat="false" ht="30" hidden="false" customHeight="true" outlineLevel="0" collapsed="false">
      <c r="A108" s="36" t="str">
        <f aca="false">IF($D$4="","",IF(COUNTA($B108:$W108)+COUNTA($Y108:$AA108)=0,"",$D$4&amp;"-"&amp;TEXT(ROW()-7,"000")))</f>
        <v/>
      </c>
      <c r="B108" s="37"/>
      <c r="C108" s="37"/>
      <c r="D108" s="37"/>
      <c r="E108" s="37"/>
      <c r="F108" s="37"/>
      <c r="G108" s="38"/>
      <c r="H108" s="38"/>
      <c r="I108" s="37"/>
      <c r="J108" s="38"/>
      <c r="K108" s="37"/>
      <c r="L108" s="37"/>
      <c r="M108" s="37"/>
      <c r="N108" s="37"/>
      <c r="O108" s="37"/>
      <c r="P108" s="37"/>
      <c r="Q108" s="37"/>
      <c r="R108" s="37"/>
      <c r="S108" s="37"/>
      <c r="T108" s="37"/>
      <c r="U108" s="37"/>
      <c r="V108" s="37"/>
      <c r="W108" s="37"/>
      <c r="X108" s="36" t="str">
        <f aca="false">IF($A108="","",TRIM($B$4&amp;" "&amp;$D$4))</f>
        <v/>
      </c>
      <c r="Y108" s="37"/>
      <c r="Z108" s="38"/>
      <c r="AA108" s="37"/>
      <c r="AB108" s="39" t="str">
        <f aca="false">IFERROR(IF(COUNTA($B108:$W108)+COUNTA($Y108:$AA108)=0,"",IF(A108="","① 条目ID未生成(先在顶栏填学号与编号)",IF(COUNTIF($A$8:$A$207,A108)&gt;1,"① 条目ID重复",IF(B108="","② 缺文件名称",IF(D108="","④ 缺位阶",IF(E108="","⑤ 缺制定区域",IF(NOT(ISNUMBER(H108)),"⑧ 施行日期须为日期格式 YYYY-MM-DD",IF(AND(I108&lt;&gt;"现行有效",I108&lt;&gt;"",J108=""),"⑩ 非现行有效须填失效/修订日期",IF(AND(ISNUMBER(J108),ISNUMBER(H108),J108&lt;=H108),"⑩ 失效日期须晚于施行日期",IF(K108="","⑪ 缺主题标签(主)",IF(AND(L108&lt;&gt;"",L108=K108),"⑫ 次标签不得与主标签相同",IF(AND(ISERROR(SEARCH("条",M108)),ISERROR(SEARCH("段",M108)),ISERROR(SEARCH("项",M108))),"⑬ 条文定位须到条/款/项或段",IF(OR(N108="",O108="",P108="",Q108=""),"⑭-⑰ 五要素未填全",IF(LEN(Q108)&gt;120,"⑰ 行为模式内容超120字,请再概括",IF(S108="","⑲ 缺原文摘录",IF(LEN(S108)&gt;200,"⑲ 原文摘录超200字,说明条文选得太大",IF(AND(E108="国家",U108=""),"㉑ 国家层须填央地权限配置",IF(AND(E108="国家",V108&lt;&gt;""),"㉒ 国家层不填地方自主权类型",IF(AND(E108&lt;&gt;"国家",V108=""),"㉒ 地方层须填地方自主权类型",IF(AND(E108&lt;&gt;"国家",U108&lt;&gt;""),"㉑ 地方层不填央地权限配置",IF(W108="","㉓ 缺核实来源",IF(X108="","㉔ 缺录入人",IF(Y108="","㉕ 缺版本号","✔ 通过基础校验"))))))))))))))))))))))),"⚠ 自检公式受损(勿用剪切移动单元格),请告知老师修复")</f>
        <v/>
      </c>
    </row>
    <row r="109" customFormat="false" ht="30" hidden="false" customHeight="true" outlineLevel="0" collapsed="false">
      <c r="A109" s="36" t="str">
        <f aca="false">IF($D$4="","",IF(COUNTA($B109:$W109)+COUNTA($Y109:$AA109)=0,"",$D$4&amp;"-"&amp;TEXT(ROW()-7,"000")))</f>
        <v/>
      </c>
      <c r="B109" s="37"/>
      <c r="C109" s="37"/>
      <c r="D109" s="37"/>
      <c r="E109" s="37"/>
      <c r="F109" s="37"/>
      <c r="G109" s="38"/>
      <c r="H109" s="38"/>
      <c r="I109" s="37"/>
      <c r="J109" s="38"/>
      <c r="K109" s="37"/>
      <c r="L109" s="37"/>
      <c r="M109" s="37"/>
      <c r="N109" s="37"/>
      <c r="O109" s="37"/>
      <c r="P109" s="37"/>
      <c r="Q109" s="37"/>
      <c r="R109" s="37"/>
      <c r="S109" s="37"/>
      <c r="T109" s="37"/>
      <c r="U109" s="37"/>
      <c r="V109" s="37"/>
      <c r="W109" s="37"/>
      <c r="X109" s="36" t="str">
        <f aca="false">IF($A109="","",TRIM($B$4&amp;" "&amp;$D$4))</f>
        <v/>
      </c>
      <c r="Y109" s="37"/>
      <c r="Z109" s="38"/>
      <c r="AA109" s="37"/>
      <c r="AB109" s="39" t="str">
        <f aca="false">IFERROR(IF(COUNTA($B109:$W109)+COUNTA($Y109:$AA109)=0,"",IF(A109="","① 条目ID未生成(先在顶栏填学号与编号)",IF(COUNTIF($A$8:$A$207,A109)&gt;1,"① 条目ID重复",IF(B109="","② 缺文件名称",IF(D109="","④ 缺位阶",IF(E109="","⑤ 缺制定区域",IF(NOT(ISNUMBER(H109)),"⑧ 施行日期须为日期格式 YYYY-MM-DD",IF(AND(I109&lt;&gt;"现行有效",I109&lt;&gt;"",J109=""),"⑩ 非现行有效须填失效/修订日期",IF(AND(ISNUMBER(J109),ISNUMBER(H109),J109&lt;=H109),"⑩ 失效日期须晚于施行日期",IF(K109="","⑪ 缺主题标签(主)",IF(AND(L109&lt;&gt;"",L109=K109),"⑫ 次标签不得与主标签相同",IF(AND(ISERROR(SEARCH("条",M109)),ISERROR(SEARCH("段",M109)),ISERROR(SEARCH("项",M109))),"⑬ 条文定位须到条/款/项或段",IF(OR(N109="",O109="",P109="",Q109=""),"⑭-⑰ 五要素未填全",IF(LEN(Q109)&gt;120,"⑰ 行为模式内容超120字,请再概括",IF(S109="","⑲ 缺原文摘录",IF(LEN(S109)&gt;200,"⑲ 原文摘录超200字,说明条文选得太大",IF(AND(E109="国家",U109=""),"㉑ 国家层须填央地权限配置",IF(AND(E109="国家",V109&lt;&gt;""),"㉒ 国家层不填地方自主权类型",IF(AND(E109&lt;&gt;"国家",V109=""),"㉒ 地方层须填地方自主权类型",IF(AND(E109&lt;&gt;"国家",U109&lt;&gt;""),"㉑ 地方层不填央地权限配置",IF(W109="","㉓ 缺核实来源",IF(X109="","㉔ 缺录入人",IF(Y109="","㉕ 缺版本号","✔ 通过基础校验"))))))))))))))))))))))),"⚠ 自检公式受损(勿用剪切移动单元格),请告知老师修复")</f>
        <v/>
      </c>
    </row>
    <row r="110" customFormat="false" ht="30" hidden="false" customHeight="true" outlineLevel="0" collapsed="false">
      <c r="A110" s="36" t="str">
        <f aca="false">IF($D$4="","",IF(COUNTA($B110:$W110)+COUNTA($Y110:$AA110)=0,"",$D$4&amp;"-"&amp;TEXT(ROW()-7,"000")))</f>
        <v/>
      </c>
      <c r="B110" s="37"/>
      <c r="C110" s="37"/>
      <c r="D110" s="37"/>
      <c r="E110" s="37"/>
      <c r="F110" s="37"/>
      <c r="G110" s="38"/>
      <c r="H110" s="38"/>
      <c r="I110" s="37"/>
      <c r="J110" s="38"/>
      <c r="K110" s="37"/>
      <c r="L110" s="37"/>
      <c r="M110" s="37"/>
      <c r="N110" s="37"/>
      <c r="O110" s="37"/>
      <c r="P110" s="37"/>
      <c r="Q110" s="37"/>
      <c r="R110" s="37"/>
      <c r="S110" s="37"/>
      <c r="T110" s="37"/>
      <c r="U110" s="37"/>
      <c r="V110" s="37"/>
      <c r="W110" s="37"/>
      <c r="X110" s="36" t="str">
        <f aca="false">IF($A110="","",TRIM($B$4&amp;" "&amp;$D$4))</f>
        <v/>
      </c>
      <c r="Y110" s="37"/>
      <c r="Z110" s="38"/>
      <c r="AA110" s="37"/>
      <c r="AB110" s="39" t="str">
        <f aca="false">IFERROR(IF(COUNTA($B110:$W110)+COUNTA($Y110:$AA110)=0,"",IF(A110="","① 条目ID未生成(先在顶栏填学号与编号)",IF(COUNTIF($A$8:$A$207,A110)&gt;1,"① 条目ID重复",IF(B110="","② 缺文件名称",IF(D110="","④ 缺位阶",IF(E110="","⑤ 缺制定区域",IF(NOT(ISNUMBER(H110)),"⑧ 施行日期须为日期格式 YYYY-MM-DD",IF(AND(I110&lt;&gt;"现行有效",I110&lt;&gt;"",J110=""),"⑩ 非现行有效须填失效/修订日期",IF(AND(ISNUMBER(J110),ISNUMBER(H110),J110&lt;=H110),"⑩ 失效日期须晚于施行日期",IF(K110="","⑪ 缺主题标签(主)",IF(AND(L110&lt;&gt;"",L110=K110),"⑫ 次标签不得与主标签相同",IF(AND(ISERROR(SEARCH("条",M110)),ISERROR(SEARCH("段",M110)),ISERROR(SEARCH("项",M110))),"⑬ 条文定位须到条/款/项或段",IF(OR(N110="",O110="",P110="",Q110=""),"⑭-⑰ 五要素未填全",IF(LEN(Q110)&gt;120,"⑰ 行为模式内容超120字,请再概括",IF(S110="","⑲ 缺原文摘录",IF(LEN(S110)&gt;200,"⑲ 原文摘录超200字,说明条文选得太大",IF(AND(E110="国家",U110=""),"㉑ 国家层须填央地权限配置",IF(AND(E110="国家",V110&lt;&gt;""),"㉒ 国家层不填地方自主权类型",IF(AND(E110&lt;&gt;"国家",V110=""),"㉒ 地方层须填地方自主权类型",IF(AND(E110&lt;&gt;"国家",U110&lt;&gt;""),"㉑ 地方层不填央地权限配置",IF(W110="","㉓ 缺核实来源",IF(X110="","㉔ 缺录入人",IF(Y110="","㉕ 缺版本号","✔ 通过基础校验"))))))))))))))))))))))),"⚠ 自检公式受损(勿用剪切移动单元格),请告知老师修复")</f>
        <v/>
      </c>
    </row>
    <row r="111" customFormat="false" ht="30" hidden="false" customHeight="true" outlineLevel="0" collapsed="false">
      <c r="A111" s="36" t="str">
        <f aca="false">IF($D$4="","",IF(COUNTA($B111:$W111)+COUNTA($Y111:$AA111)=0,"",$D$4&amp;"-"&amp;TEXT(ROW()-7,"000")))</f>
        <v/>
      </c>
      <c r="B111" s="37"/>
      <c r="C111" s="37"/>
      <c r="D111" s="37"/>
      <c r="E111" s="37"/>
      <c r="F111" s="37"/>
      <c r="G111" s="38"/>
      <c r="H111" s="38"/>
      <c r="I111" s="37"/>
      <c r="J111" s="38"/>
      <c r="K111" s="37"/>
      <c r="L111" s="37"/>
      <c r="M111" s="37"/>
      <c r="N111" s="37"/>
      <c r="O111" s="37"/>
      <c r="P111" s="37"/>
      <c r="Q111" s="37"/>
      <c r="R111" s="37"/>
      <c r="S111" s="37"/>
      <c r="T111" s="37"/>
      <c r="U111" s="37"/>
      <c r="V111" s="37"/>
      <c r="W111" s="37"/>
      <c r="X111" s="36" t="str">
        <f aca="false">IF($A111="","",TRIM($B$4&amp;" "&amp;$D$4))</f>
        <v/>
      </c>
      <c r="Y111" s="37"/>
      <c r="Z111" s="38"/>
      <c r="AA111" s="37"/>
      <c r="AB111" s="39" t="str">
        <f aca="false">IFERROR(IF(COUNTA($B111:$W111)+COUNTA($Y111:$AA111)=0,"",IF(A111="","① 条目ID未生成(先在顶栏填学号与编号)",IF(COUNTIF($A$8:$A$207,A111)&gt;1,"① 条目ID重复",IF(B111="","② 缺文件名称",IF(D111="","④ 缺位阶",IF(E111="","⑤ 缺制定区域",IF(NOT(ISNUMBER(H111)),"⑧ 施行日期须为日期格式 YYYY-MM-DD",IF(AND(I111&lt;&gt;"现行有效",I111&lt;&gt;"",J111=""),"⑩ 非现行有效须填失效/修订日期",IF(AND(ISNUMBER(J111),ISNUMBER(H111),J111&lt;=H111),"⑩ 失效日期须晚于施行日期",IF(K111="","⑪ 缺主题标签(主)",IF(AND(L111&lt;&gt;"",L111=K111),"⑫ 次标签不得与主标签相同",IF(AND(ISERROR(SEARCH("条",M111)),ISERROR(SEARCH("段",M111)),ISERROR(SEARCH("项",M111))),"⑬ 条文定位须到条/款/项或段",IF(OR(N111="",O111="",P111="",Q111=""),"⑭-⑰ 五要素未填全",IF(LEN(Q111)&gt;120,"⑰ 行为模式内容超120字,请再概括",IF(S111="","⑲ 缺原文摘录",IF(LEN(S111)&gt;200,"⑲ 原文摘录超200字,说明条文选得太大",IF(AND(E111="国家",U111=""),"㉑ 国家层须填央地权限配置",IF(AND(E111="国家",V111&lt;&gt;""),"㉒ 国家层不填地方自主权类型",IF(AND(E111&lt;&gt;"国家",V111=""),"㉒ 地方层须填地方自主权类型",IF(AND(E111&lt;&gt;"国家",U111&lt;&gt;""),"㉑ 地方层不填央地权限配置",IF(W111="","㉓ 缺核实来源",IF(X111="","㉔ 缺录入人",IF(Y111="","㉕ 缺版本号","✔ 通过基础校验"))))))))))))))))))))))),"⚠ 自检公式受损(勿用剪切移动单元格),请告知老师修复")</f>
        <v/>
      </c>
    </row>
    <row r="112" customFormat="false" ht="30" hidden="false" customHeight="true" outlineLevel="0" collapsed="false">
      <c r="A112" s="36" t="str">
        <f aca="false">IF($D$4="","",IF(COUNTA($B112:$W112)+COUNTA($Y112:$AA112)=0,"",$D$4&amp;"-"&amp;TEXT(ROW()-7,"000")))</f>
        <v/>
      </c>
      <c r="B112" s="37"/>
      <c r="C112" s="37"/>
      <c r="D112" s="37"/>
      <c r="E112" s="37"/>
      <c r="F112" s="37"/>
      <c r="G112" s="38"/>
      <c r="H112" s="38"/>
      <c r="I112" s="37"/>
      <c r="J112" s="38"/>
      <c r="K112" s="37"/>
      <c r="L112" s="37"/>
      <c r="M112" s="37"/>
      <c r="N112" s="37"/>
      <c r="O112" s="37"/>
      <c r="P112" s="37"/>
      <c r="Q112" s="37"/>
      <c r="R112" s="37"/>
      <c r="S112" s="37"/>
      <c r="T112" s="37"/>
      <c r="U112" s="37"/>
      <c r="V112" s="37"/>
      <c r="W112" s="37"/>
      <c r="X112" s="36" t="str">
        <f aca="false">IF($A112="","",TRIM($B$4&amp;" "&amp;$D$4))</f>
        <v/>
      </c>
      <c r="Y112" s="37"/>
      <c r="Z112" s="38"/>
      <c r="AA112" s="37"/>
      <c r="AB112" s="39" t="str">
        <f aca="false">IFERROR(IF(COUNTA($B112:$W112)+COUNTA($Y112:$AA112)=0,"",IF(A112="","① 条目ID未生成(先在顶栏填学号与编号)",IF(COUNTIF($A$8:$A$207,A112)&gt;1,"① 条目ID重复",IF(B112="","② 缺文件名称",IF(D112="","④ 缺位阶",IF(E112="","⑤ 缺制定区域",IF(NOT(ISNUMBER(H112)),"⑧ 施行日期须为日期格式 YYYY-MM-DD",IF(AND(I112&lt;&gt;"现行有效",I112&lt;&gt;"",J112=""),"⑩ 非现行有效须填失效/修订日期",IF(AND(ISNUMBER(J112),ISNUMBER(H112),J112&lt;=H112),"⑩ 失效日期须晚于施行日期",IF(K112="","⑪ 缺主题标签(主)",IF(AND(L112&lt;&gt;"",L112=K112),"⑫ 次标签不得与主标签相同",IF(AND(ISERROR(SEARCH("条",M112)),ISERROR(SEARCH("段",M112)),ISERROR(SEARCH("项",M112))),"⑬ 条文定位须到条/款/项或段",IF(OR(N112="",O112="",P112="",Q112=""),"⑭-⑰ 五要素未填全",IF(LEN(Q112)&gt;120,"⑰ 行为模式内容超120字,请再概括",IF(S112="","⑲ 缺原文摘录",IF(LEN(S112)&gt;200,"⑲ 原文摘录超200字,说明条文选得太大",IF(AND(E112="国家",U112=""),"㉑ 国家层须填央地权限配置",IF(AND(E112="国家",V112&lt;&gt;""),"㉒ 国家层不填地方自主权类型",IF(AND(E112&lt;&gt;"国家",V112=""),"㉒ 地方层须填地方自主权类型",IF(AND(E112&lt;&gt;"国家",U112&lt;&gt;""),"㉑ 地方层不填央地权限配置",IF(W112="","㉓ 缺核实来源",IF(X112="","㉔ 缺录入人",IF(Y112="","㉕ 缺版本号","✔ 通过基础校验"))))))))))))))))))))))),"⚠ 自检公式受损(勿用剪切移动单元格),请告知老师修复")</f>
        <v/>
      </c>
    </row>
    <row r="113" customFormat="false" ht="30" hidden="false" customHeight="true" outlineLevel="0" collapsed="false">
      <c r="A113" s="36" t="str">
        <f aca="false">IF($D$4="","",IF(COUNTA($B113:$W113)+COUNTA($Y113:$AA113)=0,"",$D$4&amp;"-"&amp;TEXT(ROW()-7,"000")))</f>
        <v/>
      </c>
      <c r="B113" s="37"/>
      <c r="C113" s="37"/>
      <c r="D113" s="37"/>
      <c r="E113" s="37"/>
      <c r="F113" s="37"/>
      <c r="G113" s="38"/>
      <c r="H113" s="38"/>
      <c r="I113" s="37"/>
      <c r="J113" s="38"/>
      <c r="K113" s="37"/>
      <c r="L113" s="37"/>
      <c r="M113" s="37"/>
      <c r="N113" s="37"/>
      <c r="O113" s="37"/>
      <c r="P113" s="37"/>
      <c r="Q113" s="37"/>
      <c r="R113" s="37"/>
      <c r="S113" s="37"/>
      <c r="T113" s="37"/>
      <c r="U113" s="37"/>
      <c r="V113" s="37"/>
      <c r="W113" s="37"/>
      <c r="X113" s="36" t="str">
        <f aca="false">IF($A113="","",TRIM($B$4&amp;" "&amp;$D$4))</f>
        <v/>
      </c>
      <c r="Y113" s="37"/>
      <c r="Z113" s="38"/>
      <c r="AA113" s="37"/>
      <c r="AB113" s="39" t="str">
        <f aca="false">IFERROR(IF(COUNTA($B113:$W113)+COUNTA($Y113:$AA113)=0,"",IF(A113="","① 条目ID未生成(先在顶栏填学号与编号)",IF(COUNTIF($A$8:$A$207,A113)&gt;1,"① 条目ID重复",IF(B113="","② 缺文件名称",IF(D113="","④ 缺位阶",IF(E113="","⑤ 缺制定区域",IF(NOT(ISNUMBER(H113)),"⑧ 施行日期须为日期格式 YYYY-MM-DD",IF(AND(I113&lt;&gt;"现行有效",I113&lt;&gt;"",J113=""),"⑩ 非现行有效须填失效/修订日期",IF(AND(ISNUMBER(J113),ISNUMBER(H113),J113&lt;=H113),"⑩ 失效日期须晚于施行日期",IF(K113="","⑪ 缺主题标签(主)",IF(AND(L113&lt;&gt;"",L113=K113),"⑫ 次标签不得与主标签相同",IF(AND(ISERROR(SEARCH("条",M113)),ISERROR(SEARCH("段",M113)),ISERROR(SEARCH("项",M113))),"⑬ 条文定位须到条/款/项或段",IF(OR(N113="",O113="",P113="",Q113=""),"⑭-⑰ 五要素未填全",IF(LEN(Q113)&gt;120,"⑰ 行为模式内容超120字,请再概括",IF(S113="","⑲ 缺原文摘录",IF(LEN(S113)&gt;200,"⑲ 原文摘录超200字,说明条文选得太大",IF(AND(E113="国家",U113=""),"㉑ 国家层须填央地权限配置",IF(AND(E113="国家",V113&lt;&gt;""),"㉒ 国家层不填地方自主权类型",IF(AND(E113&lt;&gt;"国家",V113=""),"㉒ 地方层须填地方自主权类型",IF(AND(E113&lt;&gt;"国家",U113&lt;&gt;""),"㉑ 地方层不填央地权限配置",IF(W113="","㉓ 缺核实来源",IF(X113="","㉔ 缺录入人",IF(Y113="","㉕ 缺版本号","✔ 通过基础校验"))))))))))))))))))))))),"⚠ 自检公式受损(勿用剪切移动单元格),请告知老师修复")</f>
        <v/>
      </c>
    </row>
    <row r="114" customFormat="false" ht="30" hidden="false" customHeight="true" outlineLevel="0" collapsed="false">
      <c r="A114" s="36" t="str">
        <f aca="false">IF($D$4="","",IF(COUNTA($B114:$W114)+COUNTA($Y114:$AA114)=0,"",$D$4&amp;"-"&amp;TEXT(ROW()-7,"000")))</f>
        <v/>
      </c>
      <c r="B114" s="37"/>
      <c r="C114" s="37"/>
      <c r="D114" s="37"/>
      <c r="E114" s="37"/>
      <c r="F114" s="37"/>
      <c r="G114" s="38"/>
      <c r="H114" s="38"/>
      <c r="I114" s="37"/>
      <c r="J114" s="38"/>
      <c r="K114" s="37"/>
      <c r="L114" s="37"/>
      <c r="M114" s="37"/>
      <c r="N114" s="37"/>
      <c r="O114" s="37"/>
      <c r="P114" s="37"/>
      <c r="Q114" s="37"/>
      <c r="R114" s="37"/>
      <c r="S114" s="37"/>
      <c r="T114" s="37"/>
      <c r="U114" s="37"/>
      <c r="V114" s="37"/>
      <c r="W114" s="37"/>
      <c r="X114" s="36" t="str">
        <f aca="false">IF($A114="","",TRIM($B$4&amp;" "&amp;$D$4))</f>
        <v/>
      </c>
      <c r="Y114" s="37"/>
      <c r="Z114" s="38"/>
      <c r="AA114" s="37"/>
      <c r="AB114" s="39" t="str">
        <f aca="false">IFERROR(IF(COUNTA($B114:$W114)+COUNTA($Y114:$AA114)=0,"",IF(A114="","① 条目ID未生成(先在顶栏填学号与编号)",IF(COUNTIF($A$8:$A$207,A114)&gt;1,"① 条目ID重复",IF(B114="","② 缺文件名称",IF(D114="","④ 缺位阶",IF(E114="","⑤ 缺制定区域",IF(NOT(ISNUMBER(H114)),"⑧ 施行日期须为日期格式 YYYY-MM-DD",IF(AND(I114&lt;&gt;"现行有效",I114&lt;&gt;"",J114=""),"⑩ 非现行有效须填失效/修订日期",IF(AND(ISNUMBER(J114),ISNUMBER(H114),J114&lt;=H114),"⑩ 失效日期须晚于施行日期",IF(K114="","⑪ 缺主题标签(主)",IF(AND(L114&lt;&gt;"",L114=K114),"⑫ 次标签不得与主标签相同",IF(AND(ISERROR(SEARCH("条",M114)),ISERROR(SEARCH("段",M114)),ISERROR(SEARCH("项",M114))),"⑬ 条文定位须到条/款/项或段",IF(OR(N114="",O114="",P114="",Q114=""),"⑭-⑰ 五要素未填全",IF(LEN(Q114)&gt;120,"⑰ 行为模式内容超120字,请再概括",IF(S114="","⑲ 缺原文摘录",IF(LEN(S114)&gt;200,"⑲ 原文摘录超200字,说明条文选得太大",IF(AND(E114="国家",U114=""),"㉑ 国家层须填央地权限配置",IF(AND(E114="国家",V114&lt;&gt;""),"㉒ 国家层不填地方自主权类型",IF(AND(E114&lt;&gt;"国家",V114=""),"㉒ 地方层须填地方自主权类型",IF(AND(E114&lt;&gt;"国家",U114&lt;&gt;""),"㉑ 地方层不填央地权限配置",IF(W114="","㉓ 缺核实来源",IF(X114="","㉔ 缺录入人",IF(Y114="","㉕ 缺版本号","✔ 通过基础校验"))))))))))))))))))))))),"⚠ 自检公式受损(勿用剪切移动单元格),请告知老师修复")</f>
        <v/>
      </c>
    </row>
    <row r="115" customFormat="false" ht="30" hidden="false" customHeight="true" outlineLevel="0" collapsed="false">
      <c r="A115" s="36" t="str">
        <f aca="false">IF($D$4="","",IF(COUNTA($B115:$W115)+COUNTA($Y115:$AA115)=0,"",$D$4&amp;"-"&amp;TEXT(ROW()-7,"000")))</f>
        <v/>
      </c>
      <c r="B115" s="37"/>
      <c r="C115" s="37"/>
      <c r="D115" s="37"/>
      <c r="E115" s="37"/>
      <c r="F115" s="37"/>
      <c r="G115" s="38"/>
      <c r="H115" s="38"/>
      <c r="I115" s="37"/>
      <c r="J115" s="38"/>
      <c r="K115" s="37"/>
      <c r="L115" s="37"/>
      <c r="M115" s="37"/>
      <c r="N115" s="37"/>
      <c r="O115" s="37"/>
      <c r="P115" s="37"/>
      <c r="Q115" s="37"/>
      <c r="R115" s="37"/>
      <c r="S115" s="37"/>
      <c r="T115" s="37"/>
      <c r="U115" s="37"/>
      <c r="V115" s="37"/>
      <c r="W115" s="37"/>
      <c r="X115" s="36" t="str">
        <f aca="false">IF($A115="","",TRIM($B$4&amp;" "&amp;$D$4))</f>
        <v/>
      </c>
      <c r="Y115" s="37"/>
      <c r="Z115" s="38"/>
      <c r="AA115" s="37"/>
      <c r="AB115" s="39" t="str">
        <f aca="false">IFERROR(IF(COUNTA($B115:$W115)+COUNTA($Y115:$AA115)=0,"",IF(A115="","① 条目ID未生成(先在顶栏填学号与编号)",IF(COUNTIF($A$8:$A$207,A115)&gt;1,"① 条目ID重复",IF(B115="","② 缺文件名称",IF(D115="","④ 缺位阶",IF(E115="","⑤ 缺制定区域",IF(NOT(ISNUMBER(H115)),"⑧ 施行日期须为日期格式 YYYY-MM-DD",IF(AND(I115&lt;&gt;"现行有效",I115&lt;&gt;"",J115=""),"⑩ 非现行有效须填失效/修订日期",IF(AND(ISNUMBER(J115),ISNUMBER(H115),J115&lt;=H115),"⑩ 失效日期须晚于施行日期",IF(K115="","⑪ 缺主题标签(主)",IF(AND(L115&lt;&gt;"",L115=K115),"⑫ 次标签不得与主标签相同",IF(AND(ISERROR(SEARCH("条",M115)),ISERROR(SEARCH("段",M115)),ISERROR(SEARCH("项",M115))),"⑬ 条文定位须到条/款/项或段",IF(OR(N115="",O115="",P115="",Q115=""),"⑭-⑰ 五要素未填全",IF(LEN(Q115)&gt;120,"⑰ 行为模式内容超120字,请再概括",IF(S115="","⑲ 缺原文摘录",IF(LEN(S115)&gt;200,"⑲ 原文摘录超200字,说明条文选得太大",IF(AND(E115="国家",U115=""),"㉑ 国家层须填央地权限配置",IF(AND(E115="国家",V115&lt;&gt;""),"㉒ 国家层不填地方自主权类型",IF(AND(E115&lt;&gt;"国家",V115=""),"㉒ 地方层须填地方自主权类型",IF(AND(E115&lt;&gt;"国家",U115&lt;&gt;""),"㉑ 地方层不填央地权限配置",IF(W115="","㉓ 缺核实来源",IF(X115="","㉔ 缺录入人",IF(Y115="","㉕ 缺版本号","✔ 通过基础校验"))))))))))))))))))))))),"⚠ 自检公式受损(勿用剪切移动单元格),请告知老师修复")</f>
        <v/>
      </c>
    </row>
    <row r="116" customFormat="false" ht="30" hidden="false" customHeight="true" outlineLevel="0" collapsed="false">
      <c r="A116" s="36" t="str">
        <f aca="false">IF($D$4="","",IF(COUNTA($B116:$W116)+COUNTA($Y116:$AA116)=0,"",$D$4&amp;"-"&amp;TEXT(ROW()-7,"000")))</f>
        <v/>
      </c>
      <c r="B116" s="37"/>
      <c r="C116" s="37"/>
      <c r="D116" s="37"/>
      <c r="E116" s="37"/>
      <c r="F116" s="37"/>
      <c r="G116" s="38"/>
      <c r="H116" s="38"/>
      <c r="I116" s="37"/>
      <c r="J116" s="38"/>
      <c r="K116" s="37"/>
      <c r="L116" s="37"/>
      <c r="M116" s="37"/>
      <c r="N116" s="37"/>
      <c r="O116" s="37"/>
      <c r="P116" s="37"/>
      <c r="Q116" s="37"/>
      <c r="R116" s="37"/>
      <c r="S116" s="37"/>
      <c r="T116" s="37"/>
      <c r="U116" s="37"/>
      <c r="V116" s="37"/>
      <c r="W116" s="37"/>
      <c r="X116" s="36" t="str">
        <f aca="false">IF($A116="","",TRIM($B$4&amp;" "&amp;$D$4))</f>
        <v/>
      </c>
      <c r="Y116" s="37"/>
      <c r="Z116" s="38"/>
      <c r="AA116" s="37"/>
      <c r="AB116" s="39" t="str">
        <f aca="false">IFERROR(IF(COUNTA($B116:$W116)+COUNTA($Y116:$AA116)=0,"",IF(A116="","① 条目ID未生成(先在顶栏填学号与编号)",IF(COUNTIF($A$8:$A$207,A116)&gt;1,"① 条目ID重复",IF(B116="","② 缺文件名称",IF(D116="","④ 缺位阶",IF(E116="","⑤ 缺制定区域",IF(NOT(ISNUMBER(H116)),"⑧ 施行日期须为日期格式 YYYY-MM-DD",IF(AND(I116&lt;&gt;"现行有效",I116&lt;&gt;"",J116=""),"⑩ 非现行有效须填失效/修订日期",IF(AND(ISNUMBER(J116),ISNUMBER(H116),J116&lt;=H116),"⑩ 失效日期须晚于施行日期",IF(K116="","⑪ 缺主题标签(主)",IF(AND(L116&lt;&gt;"",L116=K116),"⑫ 次标签不得与主标签相同",IF(AND(ISERROR(SEARCH("条",M116)),ISERROR(SEARCH("段",M116)),ISERROR(SEARCH("项",M116))),"⑬ 条文定位须到条/款/项或段",IF(OR(N116="",O116="",P116="",Q116=""),"⑭-⑰ 五要素未填全",IF(LEN(Q116)&gt;120,"⑰ 行为模式内容超120字,请再概括",IF(S116="","⑲ 缺原文摘录",IF(LEN(S116)&gt;200,"⑲ 原文摘录超200字,说明条文选得太大",IF(AND(E116="国家",U116=""),"㉑ 国家层须填央地权限配置",IF(AND(E116="国家",V116&lt;&gt;""),"㉒ 国家层不填地方自主权类型",IF(AND(E116&lt;&gt;"国家",V116=""),"㉒ 地方层须填地方自主权类型",IF(AND(E116&lt;&gt;"国家",U116&lt;&gt;""),"㉑ 地方层不填央地权限配置",IF(W116="","㉓ 缺核实来源",IF(X116="","㉔ 缺录入人",IF(Y116="","㉕ 缺版本号","✔ 通过基础校验"))))))))))))))))))))))),"⚠ 自检公式受损(勿用剪切移动单元格),请告知老师修复")</f>
        <v/>
      </c>
    </row>
    <row r="117" customFormat="false" ht="30" hidden="false" customHeight="true" outlineLevel="0" collapsed="false">
      <c r="A117" s="36" t="str">
        <f aca="false">IF($D$4="","",IF(COUNTA($B117:$W117)+COUNTA($Y117:$AA117)=0,"",$D$4&amp;"-"&amp;TEXT(ROW()-7,"000")))</f>
        <v/>
      </c>
      <c r="B117" s="37"/>
      <c r="C117" s="37"/>
      <c r="D117" s="37"/>
      <c r="E117" s="37"/>
      <c r="F117" s="37"/>
      <c r="G117" s="38"/>
      <c r="H117" s="38"/>
      <c r="I117" s="37"/>
      <c r="J117" s="38"/>
      <c r="K117" s="37"/>
      <c r="L117" s="37"/>
      <c r="M117" s="37"/>
      <c r="N117" s="37"/>
      <c r="O117" s="37"/>
      <c r="P117" s="37"/>
      <c r="Q117" s="37"/>
      <c r="R117" s="37"/>
      <c r="S117" s="37"/>
      <c r="T117" s="37"/>
      <c r="U117" s="37"/>
      <c r="V117" s="37"/>
      <c r="W117" s="37"/>
      <c r="X117" s="36" t="str">
        <f aca="false">IF($A117="","",TRIM($B$4&amp;" "&amp;$D$4))</f>
        <v/>
      </c>
      <c r="Y117" s="37"/>
      <c r="Z117" s="38"/>
      <c r="AA117" s="37"/>
      <c r="AB117" s="39" t="str">
        <f aca="false">IFERROR(IF(COUNTA($B117:$W117)+COUNTA($Y117:$AA117)=0,"",IF(A117="","① 条目ID未生成(先在顶栏填学号与编号)",IF(COUNTIF($A$8:$A$207,A117)&gt;1,"① 条目ID重复",IF(B117="","② 缺文件名称",IF(D117="","④ 缺位阶",IF(E117="","⑤ 缺制定区域",IF(NOT(ISNUMBER(H117)),"⑧ 施行日期须为日期格式 YYYY-MM-DD",IF(AND(I117&lt;&gt;"现行有效",I117&lt;&gt;"",J117=""),"⑩ 非现行有效须填失效/修订日期",IF(AND(ISNUMBER(J117),ISNUMBER(H117),J117&lt;=H117),"⑩ 失效日期须晚于施行日期",IF(K117="","⑪ 缺主题标签(主)",IF(AND(L117&lt;&gt;"",L117=K117),"⑫ 次标签不得与主标签相同",IF(AND(ISERROR(SEARCH("条",M117)),ISERROR(SEARCH("段",M117)),ISERROR(SEARCH("项",M117))),"⑬ 条文定位须到条/款/项或段",IF(OR(N117="",O117="",P117="",Q117=""),"⑭-⑰ 五要素未填全",IF(LEN(Q117)&gt;120,"⑰ 行为模式内容超120字,请再概括",IF(S117="","⑲ 缺原文摘录",IF(LEN(S117)&gt;200,"⑲ 原文摘录超200字,说明条文选得太大",IF(AND(E117="国家",U117=""),"㉑ 国家层须填央地权限配置",IF(AND(E117="国家",V117&lt;&gt;""),"㉒ 国家层不填地方自主权类型",IF(AND(E117&lt;&gt;"国家",V117=""),"㉒ 地方层须填地方自主权类型",IF(AND(E117&lt;&gt;"国家",U117&lt;&gt;""),"㉑ 地方层不填央地权限配置",IF(W117="","㉓ 缺核实来源",IF(X117="","㉔ 缺录入人",IF(Y117="","㉕ 缺版本号","✔ 通过基础校验"))))))))))))))))))))))),"⚠ 自检公式受损(勿用剪切移动单元格),请告知老师修复")</f>
        <v/>
      </c>
    </row>
    <row r="118" customFormat="false" ht="30" hidden="false" customHeight="true" outlineLevel="0" collapsed="false">
      <c r="A118" s="36" t="str">
        <f aca="false">IF($D$4="","",IF(COUNTA($B118:$W118)+COUNTA($Y118:$AA118)=0,"",$D$4&amp;"-"&amp;TEXT(ROW()-7,"000")))</f>
        <v/>
      </c>
      <c r="B118" s="37"/>
      <c r="C118" s="37"/>
      <c r="D118" s="37"/>
      <c r="E118" s="37"/>
      <c r="F118" s="37"/>
      <c r="G118" s="38"/>
      <c r="H118" s="38"/>
      <c r="I118" s="37"/>
      <c r="J118" s="38"/>
      <c r="K118" s="37"/>
      <c r="L118" s="37"/>
      <c r="M118" s="37"/>
      <c r="N118" s="37"/>
      <c r="O118" s="37"/>
      <c r="P118" s="37"/>
      <c r="Q118" s="37"/>
      <c r="R118" s="37"/>
      <c r="S118" s="37"/>
      <c r="T118" s="37"/>
      <c r="U118" s="37"/>
      <c r="V118" s="37"/>
      <c r="W118" s="37"/>
      <c r="X118" s="36" t="str">
        <f aca="false">IF($A118="","",TRIM($B$4&amp;" "&amp;$D$4))</f>
        <v/>
      </c>
      <c r="Y118" s="37"/>
      <c r="Z118" s="38"/>
      <c r="AA118" s="37"/>
      <c r="AB118" s="39" t="str">
        <f aca="false">IFERROR(IF(COUNTA($B118:$W118)+COUNTA($Y118:$AA118)=0,"",IF(A118="","① 条目ID未生成(先在顶栏填学号与编号)",IF(COUNTIF($A$8:$A$207,A118)&gt;1,"① 条目ID重复",IF(B118="","② 缺文件名称",IF(D118="","④ 缺位阶",IF(E118="","⑤ 缺制定区域",IF(NOT(ISNUMBER(H118)),"⑧ 施行日期须为日期格式 YYYY-MM-DD",IF(AND(I118&lt;&gt;"现行有效",I118&lt;&gt;"",J118=""),"⑩ 非现行有效须填失效/修订日期",IF(AND(ISNUMBER(J118),ISNUMBER(H118),J118&lt;=H118),"⑩ 失效日期须晚于施行日期",IF(K118="","⑪ 缺主题标签(主)",IF(AND(L118&lt;&gt;"",L118=K118),"⑫ 次标签不得与主标签相同",IF(AND(ISERROR(SEARCH("条",M118)),ISERROR(SEARCH("段",M118)),ISERROR(SEARCH("项",M118))),"⑬ 条文定位须到条/款/项或段",IF(OR(N118="",O118="",P118="",Q118=""),"⑭-⑰ 五要素未填全",IF(LEN(Q118)&gt;120,"⑰ 行为模式内容超120字,请再概括",IF(S118="","⑲ 缺原文摘录",IF(LEN(S118)&gt;200,"⑲ 原文摘录超200字,说明条文选得太大",IF(AND(E118="国家",U118=""),"㉑ 国家层须填央地权限配置",IF(AND(E118="国家",V118&lt;&gt;""),"㉒ 国家层不填地方自主权类型",IF(AND(E118&lt;&gt;"国家",V118=""),"㉒ 地方层须填地方自主权类型",IF(AND(E118&lt;&gt;"国家",U118&lt;&gt;""),"㉑ 地方层不填央地权限配置",IF(W118="","㉓ 缺核实来源",IF(X118="","㉔ 缺录入人",IF(Y118="","㉕ 缺版本号","✔ 通过基础校验"))))))))))))))))))))))),"⚠ 自检公式受损(勿用剪切移动单元格),请告知老师修复")</f>
        <v/>
      </c>
    </row>
    <row r="119" customFormat="false" ht="30" hidden="false" customHeight="true" outlineLevel="0" collapsed="false">
      <c r="A119" s="36" t="str">
        <f aca="false">IF($D$4="","",IF(COUNTA($B119:$W119)+COUNTA($Y119:$AA119)=0,"",$D$4&amp;"-"&amp;TEXT(ROW()-7,"000")))</f>
        <v/>
      </c>
      <c r="B119" s="37"/>
      <c r="C119" s="37"/>
      <c r="D119" s="37"/>
      <c r="E119" s="37"/>
      <c r="F119" s="37"/>
      <c r="G119" s="38"/>
      <c r="H119" s="38"/>
      <c r="I119" s="37"/>
      <c r="J119" s="38"/>
      <c r="K119" s="37"/>
      <c r="L119" s="37"/>
      <c r="M119" s="37"/>
      <c r="N119" s="37"/>
      <c r="O119" s="37"/>
      <c r="P119" s="37"/>
      <c r="Q119" s="37"/>
      <c r="R119" s="37"/>
      <c r="S119" s="37"/>
      <c r="T119" s="37"/>
      <c r="U119" s="37"/>
      <c r="V119" s="37"/>
      <c r="W119" s="37"/>
      <c r="X119" s="36" t="str">
        <f aca="false">IF($A119="","",TRIM($B$4&amp;" "&amp;$D$4))</f>
        <v/>
      </c>
      <c r="Y119" s="37"/>
      <c r="Z119" s="38"/>
      <c r="AA119" s="37"/>
      <c r="AB119" s="39" t="str">
        <f aca="false">IFERROR(IF(COUNTA($B119:$W119)+COUNTA($Y119:$AA119)=0,"",IF(A119="","① 条目ID未生成(先在顶栏填学号与编号)",IF(COUNTIF($A$8:$A$207,A119)&gt;1,"① 条目ID重复",IF(B119="","② 缺文件名称",IF(D119="","④ 缺位阶",IF(E119="","⑤ 缺制定区域",IF(NOT(ISNUMBER(H119)),"⑧ 施行日期须为日期格式 YYYY-MM-DD",IF(AND(I119&lt;&gt;"现行有效",I119&lt;&gt;"",J119=""),"⑩ 非现行有效须填失效/修订日期",IF(AND(ISNUMBER(J119),ISNUMBER(H119),J119&lt;=H119),"⑩ 失效日期须晚于施行日期",IF(K119="","⑪ 缺主题标签(主)",IF(AND(L119&lt;&gt;"",L119=K119),"⑫ 次标签不得与主标签相同",IF(AND(ISERROR(SEARCH("条",M119)),ISERROR(SEARCH("段",M119)),ISERROR(SEARCH("项",M119))),"⑬ 条文定位须到条/款/项或段",IF(OR(N119="",O119="",P119="",Q119=""),"⑭-⑰ 五要素未填全",IF(LEN(Q119)&gt;120,"⑰ 行为模式内容超120字,请再概括",IF(S119="","⑲ 缺原文摘录",IF(LEN(S119)&gt;200,"⑲ 原文摘录超200字,说明条文选得太大",IF(AND(E119="国家",U119=""),"㉑ 国家层须填央地权限配置",IF(AND(E119="国家",V119&lt;&gt;""),"㉒ 国家层不填地方自主权类型",IF(AND(E119&lt;&gt;"国家",V119=""),"㉒ 地方层须填地方自主权类型",IF(AND(E119&lt;&gt;"国家",U119&lt;&gt;""),"㉑ 地方层不填央地权限配置",IF(W119="","㉓ 缺核实来源",IF(X119="","㉔ 缺录入人",IF(Y119="","㉕ 缺版本号","✔ 通过基础校验"))))))))))))))))))))))),"⚠ 自检公式受损(勿用剪切移动单元格),请告知老师修复")</f>
        <v/>
      </c>
    </row>
    <row r="120" customFormat="false" ht="30" hidden="false" customHeight="true" outlineLevel="0" collapsed="false">
      <c r="A120" s="36" t="str">
        <f aca="false">IF($D$4="","",IF(COUNTA($B120:$W120)+COUNTA($Y120:$AA120)=0,"",$D$4&amp;"-"&amp;TEXT(ROW()-7,"000")))</f>
        <v/>
      </c>
      <c r="B120" s="37"/>
      <c r="C120" s="37"/>
      <c r="D120" s="37"/>
      <c r="E120" s="37"/>
      <c r="F120" s="37"/>
      <c r="G120" s="38"/>
      <c r="H120" s="38"/>
      <c r="I120" s="37"/>
      <c r="J120" s="38"/>
      <c r="K120" s="37"/>
      <c r="L120" s="37"/>
      <c r="M120" s="37"/>
      <c r="N120" s="37"/>
      <c r="O120" s="37"/>
      <c r="P120" s="37"/>
      <c r="Q120" s="37"/>
      <c r="R120" s="37"/>
      <c r="S120" s="37"/>
      <c r="T120" s="37"/>
      <c r="U120" s="37"/>
      <c r="V120" s="37"/>
      <c r="W120" s="37"/>
      <c r="X120" s="36" t="str">
        <f aca="false">IF($A120="","",TRIM($B$4&amp;" "&amp;$D$4))</f>
        <v/>
      </c>
      <c r="Y120" s="37"/>
      <c r="Z120" s="38"/>
      <c r="AA120" s="37"/>
      <c r="AB120" s="39" t="str">
        <f aca="false">IFERROR(IF(COUNTA($B120:$W120)+COUNTA($Y120:$AA120)=0,"",IF(A120="","① 条目ID未生成(先在顶栏填学号与编号)",IF(COUNTIF($A$8:$A$207,A120)&gt;1,"① 条目ID重复",IF(B120="","② 缺文件名称",IF(D120="","④ 缺位阶",IF(E120="","⑤ 缺制定区域",IF(NOT(ISNUMBER(H120)),"⑧ 施行日期须为日期格式 YYYY-MM-DD",IF(AND(I120&lt;&gt;"现行有效",I120&lt;&gt;"",J120=""),"⑩ 非现行有效须填失效/修订日期",IF(AND(ISNUMBER(J120),ISNUMBER(H120),J120&lt;=H120),"⑩ 失效日期须晚于施行日期",IF(K120="","⑪ 缺主题标签(主)",IF(AND(L120&lt;&gt;"",L120=K120),"⑫ 次标签不得与主标签相同",IF(AND(ISERROR(SEARCH("条",M120)),ISERROR(SEARCH("段",M120)),ISERROR(SEARCH("项",M120))),"⑬ 条文定位须到条/款/项或段",IF(OR(N120="",O120="",P120="",Q120=""),"⑭-⑰ 五要素未填全",IF(LEN(Q120)&gt;120,"⑰ 行为模式内容超120字,请再概括",IF(S120="","⑲ 缺原文摘录",IF(LEN(S120)&gt;200,"⑲ 原文摘录超200字,说明条文选得太大",IF(AND(E120="国家",U120=""),"㉑ 国家层须填央地权限配置",IF(AND(E120="国家",V120&lt;&gt;""),"㉒ 国家层不填地方自主权类型",IF(AND(E120&lt;&gt;"国家",V120=""),"㉒ 地方层须填地方自主权类型",IF(AND(E120&lt;&gt;"国家",U120&lt;&gt;""),"㉑ 地方层不填央地权限配置",IF(W120="","㉓ 缺核实来源",IF(X120="","㉔ 缺录入人",IF(Y120="","㉕ 缺版本号","✔ 通过基础校验"))))))))))))))))))))))),"⚠ 自检公式受损(勿用剪切移动单元格),请告知老师修复")</f>
        <v/>
      </c>
    </row>
    <row r="121" customFormat="false" ht="30" hidden="false" customHeight="true" outlineLevel="0" collapsed="false">
      <c r="A121" s="36" t="str">
        <f aca="false">IF($D$4="","",IF(COUNTA($B121:$W121)+COUNTA($Y121:$AA121)=0,"",$D$4&amp;"-"&amp;TEXT(ROW()-7,"000")))</f>
        <v/>
      </c>
      <c r="B121" s="37"/>
      <c r="C121" s="37"/>
      <c r="D121" s="37"/>
      <c r="E121" s="37"/>
      <c r="F121" s="37"/>
      <c r="G121" s="38"/>
      <c r="H121" s="38"/>
      <c r="I121" s="37"/>
      <c r="J121" s="38"/>
      <c r="K121" s="37"/>
      <c r="L121" s="37"/>
      <c r="M121" s="37"/>
      <c r="N121" s="37"/>
      <c r="O121" s="37"/>
      <c r="P121" s="37"/>
      <c r="Q121" s="37"/>
      <c r="R121" s="37"/>
      <c r="S121" s="37"/>
      <c r="T121" s="37"/>
      <c r="U121" s="37"/>
      <c r="V121" s="37"/>
      <c r="W121" s="37"/>
      <c r="X121" s="36" t="str">
        <f aca="false">IF($A121="","",TRIM($B$4&amp;" "&amp;$D$4))</f>
        <v/>
      </c>
      <c r="Y121" s="37"/>
      <c r="Z121" s="38"/>
      <c r="AA121" s="37"/>
      <c r="AB121" s="39" t="str">
        <f aca="false">IFERROR(IF(COUNTA($B121:$W121)+COUNTA($Y121:$AA121)=0,"",IF(A121="","① 条目ID未生成(先在顶栏填学号与编号)",IF(COUNTIF($A$8:$A$207,A121)&gt;1,"① 条目ID重复",IF(B121="","② 缺文件名称",IF(D121="","④ 缺位阶",IF(E121="","⑤ 缺制定区域",IF(NOT(ISNUMBER(H121)),"⑧ 施行日期须为日期格式 YYYY-MM-DD",IF(AND(I121&lt;&gt;"现行有效",I121&lt;&gt;"",J121=""),"⑩ 非现行有效须填失效/修订日期",IF(AND(ISNUMBER(J121),ISNUMBER(H121),J121&lt;=H121),"⑩ 失效日期须晚于施行日期",IF(K121="","⑪ 缺主题标签(主)",IF(AND(L121&lt;&gt;"",L121=K121),"⑫ 次标签不得与主标签相同",IF(AND(ISERROR(SEARCH("条",M121)),ISERROR(SEARCH("段",M121)),ISERROR(SEARCH("项",M121))),"⑬ 条文定位须到条/款/项或段",IF(OR(N121="",O121="",P121="",Q121=""),"⑭-⑰ 五要素未填全",IF(LEN(Q121)&gt;120,"⑰ 行为模式内容超120字,请再概括",IF(S121="","⑲ 缺原文摘录",IF(LEN(S121)&gt;200,"⑲ 原文摘录超200字,说明条文选得太大",IF(AND(E121="国家",U121=""),"㉑ 国家层须填央地权限配置",IF(AND(E121="国家",V121&lt;&gt;""),"㉒ 国家层不填地方自主权类型",IF(AND(E121&lt;&gt;"国家",V121=""),"㉒ 地方层须填地方自主权类型",IF(AND(E121&lt;&gt;"国家",U121&lt;&gt;""),"㉑ 地方层不填央地权限配置",IF(W121="","㉓ 缺核实来源",IF(X121="","㉔ 缺录入人",IF(Y121="","㉕ 缺版本号","✔ 通过基础校验"))))))))))))))))))))))),"⚠ 自检公式受损(勿用剪切移动单元格),请告知老师修复")</f>
        <v/>
      </c>
    </row>
    <row r="122" customFormat="false" ht="30" hidden="false" customHeight="true" outlineLevel="0" collapsed="false">
      <c r="A122" s="36" t="str">
        <f aca="false">IF($D$4="","",IF(COUNTA($B122:$W122)+COUNTA($Y122:$AA122)=0,"",$D$4&amp;"-"&amp;TEXT(ROW()-7,"000")))</f>
        <v/>
      </c>
      <c r="B122" s="37"/>
      <c r="C122" s="37"/>
      <c r="D122" s="37"/>
      <c r="E122" s="37"/>
      <c r="F122" s="37"/>
      <c r="G122" s="38"/>
      <c r="H122" s="38"/>
      <c r="I122" s="37"/>
      <c r="J122" s="38"/>
      <c r="K122" s="37"/>
      <c r="L122" s="37"/>
      <c r="M122" s="37"/>
      <c r="N122" s="37"/>
      <c r="O122" s="37"/>
      <c r="P122" s="37"/>
      <c r="Q122" s="37"/>
      <c r="R122" s="37"/>
      <c r="S122" s="37"/>
      <c r="T122" s="37"/>
      <c r="U122" s="37"/>
      <c r="V122" s="37"/>
      <c r="W122" s="37"/>
      <c r="X122" s="36" t="str">
        <f aca="false">IF($A122="","",TRIM($B$4&amp;" "&amp;$D$4))</f>
        <v/>
      </c>
      <c r="Y122" s="37"/>
      <c r="Z122" s="38"/>
      <c r="AA122" s="37"/>
      <c r="AB122" s="39" t="str">
        <f aca="false">IFERROR(IF(COUNTA($B122:$W122)+COUNTA($Y122:$AA122)=0,"",IF(A122="","① 条目ID未生成(先在顶栏填学号与编号)",IF(COUNTIF($A$8:$A$207,A122)&gt;1,"① 条目ID重复",IF(B122="","② 缺文件名称",IF(D122="","④ 缺位阶",IF(E122="","⑤ 缺制定区域",IF(NOT(ISNUMBER(H122)),"⑧ 施行日期须为日期格式 YYYY-MM-DD",IF(AND(I122&lt;&gt;"现行有效",I122&lt;&gt;"",J122=""),"⑩ 非现行有效须填失效/修订日期",IF(AND(ISNUMBER(J122),ISNUMBER(H122),J122&lt;=H122),"⑩ 失效日期须晚于施行日期",IF(K122="","⑪ 缺主题标签(主)",IF(AND(L122&lt;&gt;"",L122=K122),"⑫ 次标签不得与主标签相同",IF(AND(ISERROR(SEARCH("条",M122)),ISERROR(SEARCH("段",M122)),ISERROR(SEARCH("项",M122))),"⑬ 条文定位须到条/款/项或段",IF(OR(N122="",O122="",P122="",Q122=""),"⑭-⑰ 五要素未填全",IF(LEN(Q122)&gt;120,"⑰ 行为模式内容超120字,请再概括",IF(S122="","⑲ 缺原文摘录",IF(LEN(S122)&gt;200,"⑲ 原文摘录超200字,说明条文选得太大",IF(AND(E122="国家",U122=""),"㉑ 国家层须填央地权限配置",IF(AND(E122="国家",V122&lt;&gt;""),"㉒ 国家层不填地方自主权类型",IF(AND(E122&lt;&gt;"国家",V122=""),"㉒ 地方层须填地方自主权类型",IF(AND(E122&lt;&gt;"国家",U122&lt;&gt;""),"㉑ 地方层不填央地权限配置",IF(W122="","㉓ 缺核实来源",IF(X122="","㉔ 缺录入人",IF(Y122="","㉕ 缺版本号","✔ 通过基础校验"))))))))))))))))))))))),"⚠ 自检公式受损(勿用剪切移动单元格),请告知老师修复")</f>
        <v/>
      </c>
    </row>
    <row r="123" customFormat="false" ht="30" hidden="false" customHeight="true" outlineLevel="0" collapsed="false">
      <c r="A123" s="36" t="str">
        <f aca="false">IF($D$4="","",IF(COUNTA($B123:$W123)+COUNTA($Y123:$AA123)=0,"",$D$4&amp;"-"&amp;TEXT(ROW()-7,"000")))</f>
        <v/>
      </c>
      <c r="B123" s="37"/>
      <c r="C123" s="37"/>
      <c r="D123" s="37"/>
      <c r="E123" s="37"/>
      <c r="F123" s="37"/>
      <c r="G123" s="38"/>
      <c r="H123" s="38"/>
      <c r="I123" s="37"/>
      <c r="J123" s="38"/>
      <c r="K123" s="37"/>
      <c r="L123" s="37"/>
      <c r="M123" s="37"/>
      <c r="N123" s="37"/>
      <c r="O123" s="37"/>
      <c r="P123" s="37"/>
      <c r="Q123" s="37"/>
      <c r="R123" s="37"/>
      <c r="S123" s="37"/>
      <c r="T123" s="37"/>
      <c r="U123" s="37"/>
      <c r="V123" s="37"/>
      <c r="W123" s="37"/>
      <c r="X123" s="36" t="str">
        <f aca="false">IF($A123="","",TRIM($B$4&amp;" "&amp;$D$4))</f>
        <v/>
      </c>
      <c r="Y123" s="37"/>
      <c r="Z123" s="38"/>
      <c r="AA123" s="37"/>
      <c r="AB123" s="39" t="str">
        <f aca="false">IFERROR(IF(COUNTA($B123:$W123)+COUNTA($Y123:$AA123)=0,"",IF(A123="","① 条目ID未生成(先在顶栏填学号与编号)",IF(COUNTIF($A$8:$A$207,A123)&gt;1,"① 条目ID重复",IF(B123="","② 缺文件名称",IF(D123="","④ 缺位阶",IF(E123="","⑤ 缺制定区域",IF(NOT(ISNUMBER(H123)),"⑧ 施行日期须为日期格式 YYYY-MM-DD",IF(AND(I123&lt;&gt;"现行有效",I123&lt;&gt;"",J123=""),"⑩ 非现行有效须填失效/修订日期",IF(AND(ISNUMBER(J123),ISNUMBER(H123),J123&lt;=H123),"⑩ 失效日期须晚于施行日期",IF(K123="","⑪ 缺主题标签(主)",IF(AND(L123&lt;&gt;"",L123=K123),"⑫ 次标签不得与主标签相同",IF(AND(ISERROR(SEARCH("条",M123)),ISERROR(SEARCH("段",M123)),ISERROR(SEARCH("项",M123))),"⑬ 条文定位须到条/款/项或段",IF(OR(N123="",O123="",P123="",Q123=""),"⑭-⑰ 五要素未填全",IF(LEN(Q123)&gt;120,"⑰ 行为模式内容超120字,请再概括",IF(S123="","⑲ 缺原文摘录",IF(LEN(S123)&gt;200,"⑲ 原文摘录超200字,说明条文选得太大",IF(AND(E123="国家",U123=""),"㉑ 国家层须填央地权限配置",IF(AND(E123="国家",V123&lt;&gt;""),"㉒ 国家层不填地方自主权类型",IF(AND(E123&lt;&gt;"国家",V123=""),"㉒ 地方层须填地方自主权类型",IF(AND(E123&lt;&gt;"国家",U123&lt;&gt;""),"㉑ 地方层不填央地权限配置",IF(W123="","㉓ 缺核实来源",IF(X123="","㉔ 缺录入人",IF(Y123="","㉕ 缺版本号","✔ 通过基础校验"))))))))))))))))))))))),"⚠ 自检公式受损(勿用剪切移动单元格),请告知老师修复")</f>
        <v/>
      </c>
    </row>
    <row r="124" customFormat="false" ht="30" hidden="false" customHeight="true" outlineLevel="0" collapsed="false">
      <c r="A124" s="36" t="str">
        <f aca="false">IF($D$4="","",IF(COUNTA($B124:$W124)+COUNTA($Y124:$AA124)=0,"",$D$4&amp;"-"&amp;TEXT(ROW()-7,"000")))</f>
        <v/>
      </c>
      <c r="B124" s="37"/>
      <c r="C124" s="37"/>
      <c r="D124" s="37"/>
      <c r="E124" s="37"/>
      <c r="F124" s="37"/>
      <c r="G124" s="38"/>
      <c r="H124" s="38"/>
      <c r="I124" s="37"/>
      <c r="J124" s="38"/>
      <c r="K124" s="37"/>
      <c r="L124" s="37"/>
      <c r="M124" s="37"/>
      <c r="N124" s="37"/>
      <c r="O124" s="37"/>
      <c r="P124" s="37"/>
      <c r="Q124" s="37"/>
      <c r="R124" s="37"/>
      <c r="S124" s="37"/>
      <c r="T124" s="37"/>
      <c r="U124" s="37"/>
      <c r="V124" s="37"/>
      <c r="W124" s="37"/>
      <c r="X124" s="36" t="str">
        <f aca="false">IF($A124="","",TRIM($B$4&amp;" "&amp;$D$4))</f>
        <v/>
      </c>
      <c r="Y124" s="37"/>
      <c r="Z124" s="38"/>
      <c r="AA124" s="37"/>
      <c r="AB124" s="39" t="str">
        <f aca="false">IFERROR(IF(COUNTA($B124:$W124)+COUNTA($Y124:$AA124)=0,"",IF(A124="","① 条目ID未生成(先在顶栏填学号与编号)",IF(COUNTIF($A$8:$A$207,A124)&gt;1,"① 条目ID重复",IF(B124="","② 缺文件名称",IF(D124="","④ 缺位阶",IF(E124="","⑤ 缺制定区域",IF(NOT(ISNUMBER(H124)),"⑧ 施行日期须为日期格式 YYYY-MM-DD",IF(AND(I124&lt;&gt;"现行有效",I124&lt;&gt;"",J124=""),"⑩ 非现行有效须填失效/修订日期",IF(AND(ISNUMBER(J124),ISNUMBER(H124),J124&lt;=H124),"⑩ 失效日期须晚于施行日期",IF(K124="","⑪ 缺主题标签(主)",IF(AND(L124&lt;&gt;"",L124=K124),"⑫ 次标签不得与主标签相同",IF(AND(ISERROR(SEARCH("条",M124)),ISERROR(SEARCH("段",M124)),ISERROR(SEARCH("项",M124))),"⑬ 条文定位须到条/款/项或段",IF(OR(N124="",O124="",P124="",Q124=""),"⑭-⑰ 五要素未填全",IF(LEN(Q124)&gt;120,"⑰ 行为模式内容超120字,请再概括",IF(S124="","⑲ 缺原文摘录",IF(LEN(S124)&gt;200,"⑲ 原文摘录超200字,说明条文选得太大",IF(AND(E124="国家",U124=""),"㉑ 国家层须填央地权限配置",IF(AND(E124="国家",V124&lt;&gt;""),"㉒ 国家层不填地方自主权类型",IF(AND(E124&lt;&gt;"国家",V124=""),"㉒ 地方层须填地方自主权类型",IF(AND(E124&lt;&gt;"国家",U124&lt;&gt;""),"㉑ 地方层不填央地权限配置",IF(W124="","㉓ 缺核实来源",IF(X124="","㉔ 缺录入人",IF(Y124="","㉕ 缺版本号","✔ 通过基础校验"))))))))))))))))))))))),"⚠ 自检公式受损(勿用剪切移动单元格),请告知老师修复")</f>
        <v/>
      </c>
    </row>
    <row r="125" customFormat="false" ht="30" hidden="false" customHeight="true" outlineLevel="0" collapsed="false">
      <c r="A125" s="36" t="str">
        <f aca="false">IF($D$4="","",IF(COUNTA($B125:$W125)+COUNTA($Y125:$AA125)=0,"",$D$4&amp;"-"&amp;TEXT(ROW()-7,"000")))</f>
        <v/>
      </c>
      <c r="B125" s="37"/>
      <c r="C125" s="37"/>
      <c r="D125" s="37"/>
      <c r="E125" s="37"/>
      <c r="F125" s="37"/>
      <c r="G125" s="38"/>
      <c r="H125" s="38"/>
      <c r="I125" s="37"/>
      <c r="J125" s="38"/>
      <c r="K125" s="37"/>
      <c r="L125" s="37"/>
      <c r="M125" s="37"/>
      <c r="N125" s="37"/>
      <c r="O125" s="37"/>
      <c r="P125" s="37"/>
      <c r="Q125" s="37"/>
      <c r="R125" s="37"/>
      <c r="S125" s="37"/>
      <c r="T125" s="37"/>
      <c r="U125" s="37"/>
      <c r="V125" s="37"/>
      <c r="W125" s="37"/>
      <c r="X125" s="36" t="str">
        <f aca="false">IF($A125="","",TRIM($B$4&amp;" "&amp;$D$4))</f>
        <v/>
      </c>
      <c r="Y125" s="37"/>
      <c r="Z125" s="38"/>
      <c r="AA125" s="37"/>
      <c r="AB125" s="39" t="str">
        <f aca="false">IFERROR(IF(COUNTA($B125:$W125)+COUNTA($Y125:$AA125)=0,"",IF(A125="","① 条目ID未生成(先在顶栏填学号与编号)",IF(COUNTIF($A$8:$A$207,A125)&gt;1,"① 条目ID重复",IF(B125="","② 缺文件名称",IF(D125="","④ 缺位阶",IF(E125="","⑤ 缺制定区域",IF(NOT(ISNUMBER(H125)),"⑧ 施行日期须为日期格式 YYYY-MM-DD",IF(AND(I125&lt;&gt;"现行有效",I125&lt;&gt;"",J125=""),"⑩ 非现行有效须填失效/修订日期",IF(AND(ISNUMBER(J125),ISNUMBER(H125),J125&lt;=H125),"⑩ 失效日期须晚于施行日期",IF(K125="","⑪ 缺主题标签(主)",IF(AND(L125&lt;&gt;"",L125=K125),"⑫ 次标签不得与主标签相同",IF(AND(ISERROR(SEARCH("条",M125)),ISERROR(SEARCH("段",M125)),ISERROR(SEARCH("项",M125))),"⑬ 条文定位须到条/款/项或段",IF(OR(N125="",O125="",P125="",Q125=""),"⑭-⑰ 五要素未填全",IF(LEN(Q125)&gt;120,"⑰ 行为模式内容超120字,请再概括",IF(S125="","⑲ 缺原文摘录",IF(LEN(S125)&gt;200,"⑲ 原文摘录超200字,说明条文选得太大",IF(AND(E125="国家",U125=""),"㉑ 国家层须填央地权限配置",IF(AND(E125="国家",V125&lt;&gt;""),"㉒ 国家层不填地方自主权类型",IF(AND(E125&lt;&gt;"国家",V125=""),"㉒ 地方层须填地方自主权类型",IF(AND(E125&lt;&gt;"国家",U125&lt;&gt;""),"㉑ 地方层不填央地权限配置",IF(W125="","㉓ 缺核实来源",IF(X125="","㉔ 缺录入人",IF(Y125="","㉕ 缺版本号","✔ 通过基础校验"))))))))))))))))))))))),"⚠ 自检公式受损(勿用剪切移动单元格),请告知老师修复")</f>
        <v/>
      </c>
    </row>
    <row r="126" customFormat="false" ht="30" hidden="false" customHeight="true" outlineLevel="0" collapsed="false">
      <c r="A126" s="36" t="str">
        <f aca="false">IF($D$4="","",IF(COUNTA($B126:$W126)+COUNTA($Y126:$AA126)=0,"",$D$4&amp;"-"&amp;TEXT(ROW()-7,"000")))</f>
        <v/>
      </c>
      <c r="B126" s="37"/>
      <c r="C126" s="37"/>
      <c r="D126" s="37"/>
      <c r="E126" s="37"/>
      <c r="F126" s="37"/>
      <c r="G126" s="38"/>
      <c r="H126" s="38"/>
      <c r="I126" s="37"/>
      <c r="J126" s="38"/>
      <c r="K126" s="37"/>
      <c r="L126" s="37"/>
      <c r="M126" s="37"/>
      <c r="N126" s="37"/>
      <c r="O126" s="37"/>
      <c r="P126" s="37"/>
      <c r="Q126" s="37"/>
      <c r="R126" s="37"/>
      <c r="S126" s="37"/>
      <c r="T126" s="37"/>
      <c r="U126" s="37"/>
      <c r="V126" s="37"/>
      <c r="W126" s="37"/>
      <c r="X126" s="36" t="str">
        <f aca="false">IF($A126="","",TRIM($B$4&amp;" "&amp;$D$4))</f>
        <v/>
      </c>
      <c r="Y126" s="37"/>
      <c r="Z126" s="38"/>
      <c r="AA126" s="37"/>
      <c r="AB126" s="39" t="str">
        <f aca="false">IFERROR(IF(COUNTA($B126:$W126)+COUNTA($Y126:$AA126)=0,"",IF(A126="","① 条目ID未生成(先在顶栏填学号与编号)",IF(COUNTIF($A$8:$A$207,A126)&gt;1,"① 条目ID重复",IF(B126="","② 缺文件名称",IF(D126="","④ 缺位阶",IF(E126="","⑤ 缺制定区域",IF(NOT(ISNUMBER(H126)),"⑧ 施行日期须为日期格式 YYYY-MM-DD",IF(AND(I126&lt;&gt;"现行有效",I126&lt;&gt;"",J126=""),"⑩ 非现行有效须填失效/修订日期",IF(AND(ISNUMBER(J126),ISNUMBER(H126),J126&lt;=H126),"⑩ 失效日期须晚于施行日期",IF(K126="","⑪ 缺主题标签(主)",IF(AND(L126&lt;&gt;"",L126=K126),"⑫ 次标签不得与主标签相同",IF(AND(ISERROR(SEARCH("条",M126)),ISERROR(SEARCH("段",M126)),ISERROR(SEARCH("项",M126))),"⑬ 条文定位须到条/款/项或段",IF(OR(N126="",O126="",P126="",Q126=""),"⑭-⑰ 五要素未填全",IF(LEN(Q126)&gt;120,"⑰ 行为模式内容超120字,请再概括",IF(S126="","⑲ 缺原文摘录",IF(LEN(S126)&gt;200,"⑲ 原文摘录超200字,说明条文选得太大",IF(AND(E126="国家",U126=""),"㉑ 国家层须填央地权限配置",IF(AND(E126="国家",V126&lt;&gt;""),"㉒ 国家层不填地方自主权类型",IF(AND(E126&lt;&gt;"国家",V126=""),"㉒ 地方层须填地方自主权类型",IF(AND(E126&lt;&gt;"国家",U126&lt;&gt;""),"㉑ 地方层不填央地权限配置",IF(W126="","㉓ 缺核实来源",IF(X126="","㉔ 缺录入人",IF(Y126="","㉕ 缺版本号","✔ 通过基础校验"))))))))))))))))))))))),"⚠ 自检公式受损(勿用剪切移动单元格),请告知老师修复")</f>
        <v/>
      </c>
    </row>
    <row r="127" customFormat="false" ht="30" hidden="false" customHeight="true" outlineLevel="0" collapsed="false">
      <c r="A127" s="36" t="str">
        <f aca="false">IF($D$4="","",IF(COUNTA($B127:$W127)+COUNTA($Y127:$AA127)=0,"",$D$4&amp;"-"&amp;TEXT(ROW()-7,"000")))</f>
        <v/>
      </c>
      <c r="B127" s="37"/>
      <c r="C127" s="37"/>
      <c r="D127" s="37"/>
      <c r="E127" s="37"/>
      <c r="F127" s="37"/>
      <c r="G127" s="38"/>
      <c r="H127" s="38"/>
      <c r="I127" s="37"/>
      <c r="J127" s="38"/>
      <c r="K127" s="37"/>
      <c r="L127" s="37"/>
      <c r="M127" s="37"/>
      <c r="N127" s="37"/>
      <c r="O127" s="37"/>
      <c r="P127" s="37"/>
      <c r="Q127" s="37"/>
      <c r="R127" s="37"/>
      <c r="S127" s="37"/>
      <c r="T127" s="37"/>
      <c r="U127" s="37"/>
      <c r="V127" s="37"/>
      <c r="W127" s="37"/>
      <c r="X127" s="36" t="str">
        <f aca="false">IF($A127="","",TRIM($B$4&amp;" "&amp;$D$4))</f>
        <v/>
      </c>
      <c r="Y127" s="37"/>
      <c r="Z127" s="38"/>
      <c r="AA127" s="37"/>
      <c r="AB127" s="39" t="str">
        <f aca="false">IFERROR(IF(COUNTA($B127:$W127)+COUNTA($Y127:$AA127)=0,"",IF(A127="","① 条目ID未生成(先在顶栏填学号与编号)",IF(COUNTIF($A$8:$A$207,A127)&gt;1,"① 条目ID重复",IF(B127="","② 缺文件名称",IF(D127="","④ 缺位阶",IF(E127="","⑤ 缺制定区域",IF(NOT(ISNUMBER(H127)),"⑧ 施行日期须为日期格式 YYYY-MM-DD",IF(AND(I127&lt;&gt;"现行有效",I127&lt;&gt;"",J127=""),"⑩ 非现行有效须填失效/修订日期",IF(AND(ISNUMBER(J127),ISNUMBER(H127),J127&lt;=H127),"⑩ 失效日期须晚于施行日期",IF(K127="","⑪ 缺主题标签(主)",IF(AND(L127&lt;&gt;"",L127=K127),"⑫ 次标签不得与主标签相同",IF(AND(ISERROR(SEARCH("条",M127)),ISERROR(SEARCH("段",M127)),ISERROR(SEARCH("项",M127))),"⑬ 条文定位须到条/款/项或段",IF(OR(N127="",O127="",P127="",Q127=""),"⑭-⑰ 五要素未填全",IF(LEN(Q127)&gt;120,"⑰ 行为模式内容超120字,请再概括",IF(S127="","⑲ 缺原文摘录",IF(LEN(S127)&gt;200,"⑲ 原文摘录超200字,说明条文选得太大",IF(AND(E127="国家",U127=""),"㉑ 国家层须填央地权限配置",IF(AND(E127="国家",V127&lt;&gt;""),"㉒ 国家层不填地方自主权类型",IF(AND(E127&lt;&gt;"国家",V127=""),"㉒ 地方层须填地方自主权类型",IF(AND(E127&lt;&gt;"国家",U127&lt;&gt;""),"㉑ 地方层不填央地权限配置",IF(W127="","㉓ 缺核实来源",IF(X127="","㉔ 缺录入人",IF(Y127="","㉕ 缺版本号","✔ 通过基础校验"))))))))))))))))))))))),"⚠ 自检公式受损(勿用剪切移动单元格),请告知老师修复")</f>
        <v/>
      </c>
    </row>
    <row r="128" customFormat="false" ht="30" hidden="false" customHeight="true" outlineLevel="0" collapsed="false">
      <c r="A128" s="36" t="str">
        <f aca="false">IF($D$4="","",IF(COUNTA($B128:$W128)+COUNTA($Y128:$AA128)=0,"",$D$4&amp;"-"&amp;TEXT(ROW()-7,"000")))</f>
        <v/>
      </c>
      <c r="B128" s="37"/>
      <c r="C128" s="37"/>
      <c r="D128" s="37"/>
      <c r="E128" s="37"/>
      <c r="F128" s="37"/>
      <c r="G128" s="38"/>
      <c r="H128" s="38"/>
      <c r="I128" s="37"/>
      <c r="J128" s="38"/>
      <c r="K128" s="37"/>
      <c r="L128" s="37"/>
      <c r="M128" s="37"/>
      <c r="N128" s="37"/>
      <c r="O128" s="37"/>
      <c r="P128" s="37"/>
      <c r="Q128" s="37"/>
      <c r="R128" s="37"/>
      <c r="S128" s="37"/>
      <c r="T128" s="37"/>
      <c r="U128" s="37"/>
      <c r="V128" s="37"/>
      <c r="W128" s="37"/>
      <c r="X128" s="36" t="str">
        <f aca="false">IF($A128="","",TRIM($B$4&amp;" "&amp;$D$4))</f>
        <v/>
      </c>
      <c r="Y128" s="37"/>
      <c r="Z128" s="38"/>
      <c r="AA128" s="37"/>
      <c r="AB128" s="39" t="str">
        <f aca="false">IFERROR(IF(COUNTA($B128:$W128)+COUNTA($Y128:$AA128)=0,"",IF(A128="","① 条目ID未生成(先在顶栏填学号与编号)",IF(COUNTIF($A$8:$A$207,A128)&gt;1,"① 条目ID重复",IF(B128="","② 缺文件名称",IF(D128="","④ 缺位阶",IF(E128="","⑤ 缺制定区域",IF(NOT(ISNUMBER(H128)),"⑧ 施行日期须为日期格式 YYYY-MM-DD",IF(AND(I128&lt;&gt;"现行有效",I128&lt;&gt;"",J128=""),"⑩ 非现行有效须填失效/修订日期",IF(AND(ISNUMBER(J128),ISNUMBER(H128),J128&lt;=H128),"⑩ 失效日期须晚于施行日期",IF(K128="","⑪ 缺主题标签(主)",IF(AND(L128&lt;&gt;"",L128=K128),"⑫ 次标签不得与主标签相同",IF(AND(ISERROR(SEARCH("条",M128)),ISERROR(SEARCH("段",M128)),ISERROR(SEARCH("项",M128))),"⑬ 条文定位须到条/款/项或段",IF(OR(N128="",O128="",P128="",Q128=""),"⑭-⑰ 五要素未填全",IF(LEN(Q128)&gt;120,"⑰ 行为模式内容超120字,请再概括",IF(S128="","⑲ 缺原文摘录",IF(LEN(S128)&gt;200,"⑲ 原文摘录超200字,说明条文选得太大",IF(AND(E128="国家",U128=""),"㉑ 国家层须填央地权限配置",IF(AND(E128="国家",V128&lt;&gt;""),"㉒ 国家层不填地方自主权类型",IF(AND(E128&lt;&gt;"国家",V128=""),"㉒ 地方层须填地方自主权类型",IF(AND(E128&lt;&gt;"国家",U128&lt;&gt;""),"㉑ 地方层不填央地权限配置",IF(W128="","㉓ 缺核实来源",IF(X128="","㉔ 缺录入人",IF(Y128="","㉕ 缺版本号","✔ 通过基础校验"))))))))))))))))))))))),"⚠ 自检公式受损(勿用剪切移动单元格),请告知老师修复")</f>
        <v/>
      </c>
    </row>
    <row r="129" customFormat="false" ht="30" hidden="false" customHeight="true" outlineLevel="0" collapsed="false">
      <c r="A129" s="36" t="str">
        <f aca="false">IF($D$4="","",IF(COUNTA($B129:$W129)+COUNTA($Y129:$AA129)=0,"",$D$4&amp;"-"&amp;TEXT(ROW()-7,"000")))</f>
        <v/>
      </c>
      <c r="B129" s="37"/>
      <c r="C129" s="37"/>
      <c r="D129" s="37"/>
      <c r="E129" s="37"/>
      <c r="F129" s="37"/>
      <c r="G129" s="38"/>
      <c r="H129" s="38"/>
      <c r="I129" s="37"/>
      <c r="J129" s="38"/>
      <c r="K129" s="37"/>
      <c r="L129" s="37"/>
      <c r="M129" s="37"/>
      <c r="N129" s="37"/>
      <c r="O129" s="37"/>
      <c r="P129" s="37"/>
      <c r="Q129" s="37"/>
      <c r="R129" s="37"/>
      <c r="S129" s="37"/>
      <c r="T129" s="37"/>
      <c r="U129" s="37"/>
      <c r="V129" s="37"/>
      <c r="W129" s="37"/>
      <c r="X129" s="36" t="str">
        <f aca="false">IF($A129="","",TRIM($B$4&amp;" "&amp;$D$4))</f>
        <v/>
      </c>
      <c r="Y129" s="37"/>
      <c r="Z129" s="38"/>
      <c r="AA129" s="37"/>
      <c r="AB129" s="39" t="str">
        <f aca="false">IFERROR(IF(COUNTA($B129:$W129)+COUNTA($Y129:$AA129)=0,"",IF(A129="","① 条目ID未生成(先在顶栏填学号与编号)",IF(COUNTIF($A$8:$A$207,A129)&gt;1,"① 条目ID重复",IF(B129="","② 缺文件名称",IF(D129="","④ 缺位阶",IF(E129="","⑤ 缺制定区域",IF(NOT(ISNUMBER(H129)),"⑧ 施行日期须为日期格式 YYYY-MM-DD",IF(AND(I129&lt;&gt;"现行有效",I129&lt;&gt;"",J129=""),"⑩ 非现行有效须填失效/修订日期",IF(AND(ISNUMBER(J129),ISNUMBER(H129),J129&lt;=H129),"⑩ 失效日期须晚于施行日期",IF(K129="","⑪ 缺主题标签(主)",IF(AND(L129&lt;&gt;"",L129=K129),"⑫ 次标签不得与主标签相同",IF(AND(ISERROR(SEARCH("条",M129)),ISERROR(SEARCH("段",M129)),ISERROR(SEARCH("项",M129))),"⑬ 条文定位须到条/款/项或段",IF(OR(N129="",O129="",P129="",Q129=""),"⑭-⑰ 五要素未填全",IF(LEN(Q129)&gt;120,"⑰ 行为模式内容超120字,请再概括",IF(S129="","⑲ 缺原文摘录",IF(LEN(S129)&gt;200,"⑲ 原文摘录超200字,说明条文选得太大",IF(AND(E129="国家",U129=""),"㉑ 国家层须填央地权限配置",IF(AND(E129="国家",V129&lt;&gt;""),"㉒ 国家层不填地方自主权类型",IF(AND(E129&lt;&gt;"国家",V129=""),"㉒ 地方层须填地方自主权类型",IF(AND(E129&lt;&gt;"国家",U129&lt;&gt;""),"㉑ 地方层不填央地权限配置",IF(W129="","㉓ 缺核实来源",IF(X129="","㉔ 缺录入人",IF(Y129="","㉕ 缺版本号","✔ 通过基础校验"))))))))))))))))))))))),"⚠ 自检公式受损(勿用剪切移动单元格),请告知老师修复")</f>
        <v/>
      </c>
    </row>
    <row r="130" customFormat="false" ht="30" hidden="false" customHeight="true" outlineLevel="0" collapsed="false">
      <c r="A130" s="36" t="str">
        <f aca="false">IF($D$4="","",IF(COUNTA($B130:$W130)+COUNTA($Y130:$AA130)=0,"",$D$4&amp;"-"&amp;TEXT(ROW()-7,"000")))</f>
        <v/>
      </c>
      <c r="B130" s="37"/>
      <c r="C130" s="37"/>
      <c r="D130" s="37"/>
      <c r="E130" s="37"/>
      <c r="F130" s="37"/>
      <c r="G130" s="38"/>
      <c r="H130" s="38"/>
      <c r="I130" s="37"/>
      <c r="J130" s="38"/>
      <c r="K130" s="37"/>
      <c r="L130" s="37"/>
      <c r="M130" s="37"/>
      <c r="N130" s="37"/>
      <c r="O130" s="37"/>
      <c r="P130" s="37"/>
      <c r="Q130" s="37"/>
      <c r="R130" s="37"/>
      <c r="S130" s="37"/>
      <c r="T130" s="37"/>
      <c r="U130" s="37"/>
      <c r="V130" s="37"/>
      <c r="W130" s="37"/>
      <c r="X130" s="36" t="str">
        <f aca="false">IF($A130="","",TRIM($B$4&amp;" "&amp;$D$4))</f>
        <v/>
      </c>
      <c r="Y130" s="37"/>
      <c r="Z130" s="38"/>
      <c r="AA130" s="37"/>
      <c r="AB130" s="39" t="str">
        <f aca="false">IFERROR(IF(COUNTA($B130:$W130)+COUNTA($Y130:$AA130)=0,"",IF(A130="","① 条目ID未生成(先在顶栏填学号与编号)",IF(COUNTIF($A$8:$A$207,A130)&gt;1,"① 条目ID重复",IF(B130="","② 缺文件名称",IF(D130="","④ 缺位阶",IF(E130="","⑤ 缺制定区域",IF(NOT(ISNUMBER(H130)),"⑧ 施行日期须为日期格式 YYYY-MM-DD",IF(AND(I130&lt;&gt;"现行有效",I130&lt;&gt;"",J130=""),"⑩ 非现行有效须填失效/修订日期",IF(AND(ISNUMBER(J130),ISNUMBER(H130),J130&lt;=H130),"⑩ 失效日期须晚于施行日期",IF(K130="","⑪ 缺主题标签(主)",IF(AND(L130&lt;&gt;"",L130=K130),"⑫ 次标签不得与主标签相同",IF(AND(ISERROR(SEARCH("条",M130)),ISERROR(SEARCH("段",M130)),ISERROR(SEARCH("项",M130))),"⑬ 条文定位须到条/款/项或段",IF(OR(N130="",O130="",P130="",Q130=""),"⑭-⑰ 五要素未填全",IF(LEN(Q130)&gt;120,"⑰ 行为模式内容超120字,请再概括",IF(S130="","⑲ 缺原文摘录",IF(LEN(S130)&gt;200,"⑲ 原文摘录超200字,说明条文选得太大",IF(AND(E130="国家",U130=""),"㉑ 国家层须填央地权限配置",IF(AND(E130="国家",V130&lt;&gt;""),"㉒ 国家层不填地方自主权类型",IF(AND(E130&lt;&gt;"国家",V130=""),"㉒ 地方层须填地方自主权类型",IF(AND(E130&lt;&gt;"国家",U130&lt;&gt;""),"㉑ 地方层不填央地权限配置",IF(W130="","㉓ 缺核实来源",IF(X130="","㉔ 缺录入人",IF(Y130="","㉕ 缺版本号","✔ 通过基础校验"))))))))))))))))))))))),"⚠ 自检公式受损(勿用剪切移动单元格),请告知老师修复")</f>
        <v/>
      </c>
    </row>
    <row r="131" customFormat="false" ht="30" hidden="false" customHeight="true" outlineLevel="0" collapsed="false">
      <c r="A131" s="36" t="str">
        <f aca="false">IF($D$4="","",IF(COUNTA($B131:$W131)+COUNTA($Y131:$AA131)=0,"",$D$4&amp;"-"&amp;TEXT(ROW()-7,"000")))</f>
        <v/>
      </c>
      <c r="B131" s="37"/>
      <c r="C131" s="37"/>
      <c r="D131" s="37"/>
      <c r="E131" s="37"/>
      <c r="F131" s="37"/>
      <c r="G131" s="38"/>
      <c r="H131" s="38"/>
      <c r="I131" s="37"/>
      <c r="J131" s="38"/>
      <c r="K131" s="37"/>
      <c r="L131" s="37"/>
      <c r="M131" s="37"/>
      <c r="N131" s="37"/>
      <c r="O131" s="37"/>
      <c r="P131" s="37"/>
      <c r="Q131" s="37"/>
      <c r="R131" s="37"/>
      <c r="S131" s="37"/>
      <c r="T131" s="37"/>
      <c r="U131" s="37"/>
      <c r="V131" s="37"/>
      <c r="W131" s="37"/>
      <c r="X131" s="36" t="str">
        <f aca="false">IF($A131="","",TRIM($B$4&amp;" "&amp;$D$4))</f>
        <v/>
      </c>
      <c r="Y131" s="37"/>
      <c r="Z131" s="38"/>
      <c r="AA131" s="37"/>
      <c r="AB131" s="39" t="str">
        <f aca="false">IFERROR(IF(COUNTA($B131:$W131)+COUNTA($Y131:$AA131)=0,"",IF(A131="","① 条目ID未生成(先在顶栏填学号与编号)",IF(COUNTIF($A$8:$A$207,A131)&gt;1,"① 条目ID重复",IF(B131="","② 缺文件名称",IF(D131="","④ 缺位阶",IF(E131="","⑤ 缺制定区域",IF(NOT(ISNUMBER(H131)),"⑧ 施行日期须为日期格式 YYYY-MM-DD",IF(AND(I131&lt;&gt;"现行有效",I131&lt;&gt;"",J131=""),"⑩ 非现行有效须填失效/修订日期",IF(AND(ISNUMBER(J131),ISNUMBER(H131),J131&lt;=H131),"⑩ 失效日期须晚于施行日期",IF(K131="","⑪ 缺主题标签(主)",IF(AND(L131&lt;&gt;"",L131=K131),"⑫ 次标签不得与主标签相同",IF(AND(ISERROR(SEARCH("条",M131)),ISERROR(SEARCH("段",M131)),ISERROR(SEARCH("项",M131))),"⑬ 条文定位须到条/款/项或段",IF(OR(N131="",O131="",P131="",Q131=""),"⑭-⑰ 五要素未填全",IF(LEN(Q131)&gt;120,"⑰ 行为模式内容超120字,请再概括",IF(S131="","⑲ 缺原文摘录",IF(LEN(S131)&gt;200,"⑲ 原文摘录超200字,说明条文选得太大",IF(AND(E131="国家",U131=""),"㉑ 国家层须填央地权限配置",IF(AND(E131="国家",V131&lt;&gt;""),"㉒ 国家层不填地方自主权类型",IF(AND(E131&lt;&gt;"国家",V131=""),"㉒ 地方层须填地方自主权类型",IF(AND(E131&lt;&gt;"国家",U131&lt;&gt;""),"㉑ 地方层不填央地权限配置",IF(W131="","㉓ 缺核实来源",IF(X131="","㉔ 缺录入人",IF(Y131="","㉕ 缺版本号","✔ 通过基础校验"))))))))))))))))))))))),"⚠ 自检公式受损(勿用剪切移动单元格),请告知老师修复")</f>
        <v/>
      </c>
    </row>
    <row r="132" customFormat="false" ht="30" hidden="false" customHeight="true" outlineLevel="0" collapsed="false">
      <c r="A132" s="36" t="str">
        <f aca="false">IF($D$4="","",IF(COUNTA($B132:$W132)+COUNTA($Y132:$AA132)=0,"",$D$4&amp;"-"&amp;TEXT(ROW()-7,"000")))</f>
        <v/>
      </c>
      <c r="B132" s="37"/>
      <c r="C132" s="37"/>
      <c r="D132" s="37"/>
      <c r="E132" s="37"/>
      <c r="F132" s="37"/>
      <c r="G132" s="38"/>
      <c r="H132" s="38"/>
      <c r="I132" s="37"/>
      <c r="J132" s="38"/>
      <c r="K132" s="37"/>
      <c r="L132" s="37"/>
      <c r="M132" s="37"/>
      <c r="N132" s="37"/>
      <c r="O132" s="37"/>
      <c r="P132" s="37"/>
      <c r="Q132" s="37"/>
      <c r="R132" s="37"/>
      <c r="S132" s="37"/>
      <c r="T132" s="37"/>
      <c r="U132" s="37"/>
      <c r="V132" s="37"/>
      <c r="W132" s="37"/>
      <c r="X132" s="36" t="str">
        <f aca="false">IF($A132="","",TRIM($B$4&amp;" "&amp;$D$4))</f>
        <v/>
      </c>
      <c r="Y132" s="37"/>
      <c r="Z132" s="38"/>
      <c r="AA132" s="37"/>
      <c r="AB132" s="39" t="str">
        <f aca="false">IFERROR(IF(COUNTA($B132:$W132)+COUNTA($Y132:$AA132)=0,"",IF(A132="","① 条目ID未生成(先在顶栏填学号与编号)",IF(COUNTIF($A$8:$A$207,A132)&gt;1,"① 条目ID重复",IF(B132="","② 缺文件名称",IF(D132="","④ 缺位阶",IF(E132="","⑤ 缺制定区域",IF(NOT(ISNUMBER(H132)),"⑧ 施行日期须为日期格式 YYYY-MM-DD",IF(AND(I132&lt;&gt;"现行有效",I132&lt;&gt;"",J132=""),"⑩ 非现行有效须填失效/修订日期",IF(AND(ISNUMBER(J132),ISNUMBER(H132),J132&lt;=H132),"⑩ 失效日期须晚于施行日期",IF(K132="","⑪ 缺主题标签(主)",IF(AND(L132&lt;&gt;"",L132=K132),"⑫ 次标签不得与主标签相同",IF(AND(ISERROR(SEARCH("条",M132)),ISERROR(SEARCH("段",M132)),ISERROR(SEARCH("项",M132))),"⑬ 条文定位须到条/款/项或段",IF(OR(N132="",O132="",P132="",Q132=""),"⑭-⑰ 五要素未填全",IF(LEN(Q132)&gt;120,"⑰ 行为模式内容超120字,请再概括",IF(S132="","⑲ 缺原文摘录",IF(LEN(S132)&gt;200,"⑲ 原文摘录超200字,说明条文选得太大",IF(AND(E132="国家",U132=""),"㉑ 国家层须填央地权限配置",IF(AND(E132="国家",V132&lt;&gt;""),"㉒ 国家层不填地方自主权类型",IF(AND(E132&lt;&gt;"国家",V132=""),"㉒ 地方层须填地方自主权类型",IF(AND(E132&lt;&gt;"国家",U132&lt;&gt;""),"㉑ 地方层不填央地权限配置",IF(W132="","㉓ 缺核实来源",IF(X132="","㉔ 缺录入人",IF(Y132="","㉕ 缺版本号","✔ 通过基础校验"))))))))))))))))))))))),"⚠ 自检公式受损(勿用剪切移动单元格),请告知老师修复")</f>
        <v/>
      </c>
    </row>
    <row r="133" customFormat="false" ht="30" hidden="false" customHeight="true" outlineLevel="0" collapsed="false">
      <c r="A133" s="36" t="str">
        <f aca="false">IF($D$4="","",IF(COUNTA($B133:$W133)+COUNTA($Y133:$AA133)=0,"",$D$4&amp;"-"&amp;TEXT(ROW()-7,"000")))</f>
        <v/>
      </c>
      <c r="B133" s="37"/>
      <c r="C133" s="37"/>
      <c r="D133" s="37"/>
      <c r="E133" s="37"/>
      <c r="F133" s="37"/>
      <c r="G133" s="38"/>
      <c r="H133" s="38"/>
      <c r="I133" s="37"/>
      <c r="J133" s="38"/>
      <c r="K133" s="37"/>
      <c r="L133" s="37"/>
      <c r="M133" s="37"/>
      <c r="N133" s="37"/>
      <c r="O133" s="37"/>
      <c r="P133" s="37"/>
      <c r="Q133" s="37"/>
      <c r="R133" s="37"/>
      <c r="S133" s="37"/>
      <c r="T133" s="37"/>
      <c r="U133" s="37"/>
      <c r="V133" s="37"/>
      <c r="W133" s="37"/>
      <c r="X133" s="36" t="str">
        <f aca="false">IF($A133="","",TRIM($B$4&amp;" "&amp;$D$4))</f>
        <v/>
      </c>
      <c r="Y133" s="37"/>
      <c r="Z133" s="38"/>
      <c r="AA133" s="37"/>
      <c r="AB133" s="39" t="str">
        <f aca="false">IFERROR(IF(COUNTA($B133:$W133)+COUNTA($Y133:$AA133)=0,"",IF(A133="","① 条目ID未生成(先在顶栏填学号与编号)",IF(COUNTIF($A$8:$A$207,A133)&gt;1,"① 条目ID重复",IF(B133="","② 缺文件名称",IF(D133="","④ 缺位阶",IF(E133="","⑤ 缺制定区域",IF(NOT(ISNUMBER(H133)),"⑧ 施行日期须为日期格式 YYYY-MM-DD",IF(AND(I133&lt;&gt;"现行有效",I133&lt;&gt;"",J133=""),"⑩ 非现行有效须填失效/修订日期",IF(AND(ISNUMBER(J133),ISNUMBER(H133),J133&lt;=H133),"⑩ 失效日期须晚于施行日期",IF(K133="","⑪ 缺主题标签(主)",IF(AND(L133&lt;&gt;"",L133=K133),"⑫ 次标签不得与主标签相同",IF(AND(ISERROR(SEARCH("条",M133)),ISERROR(SEARCH("段",M133)),ISERROR(SEARCH("项",M133))),"⑬ 条文定位须到条/款/项或段",IF(OR(N133="",O133="",P133="",Q133=""),"⑭-⑰ 五要素未填全",IF(LEN(Q133)&gt;120,"⑰ 行为模式内容超120字,请再概括",IF(S133="","⑲ 缺原文摘录",IF(LEN(S133)&gt;200,"⑲ 原文摘录超200字,说明条文选得太大",IF(AND(E133="国家",U133=""),"㉑ 国家层须填央地权限配置",IF(AND(E133="国家",V133&lt;&gt;""),"㉒ 国家层不填地方自主权类型",IF(AND(E133&lt;&gt;"国家",V133=""),"㉒ 地方层须填地方自主权类型",IF(AND(E133&lt;&gt;"国家",U133&lt;&gt;""),"㉑ 地方层不填央地权限配置",IF(W133="","㉓ 缺核实来源",IF(X133="","㉔ 缺录入人",IF(Y133="","㉕ 缺版本号","✔ 通过基础校验"))))))))))))))))))))))),"⚠ 自检公式受损(勿用剪切移动单元格),请告知老师修复")</f>
        <v/>
      </c>
    </row>
    <row r="134" customFormat="false" ht="30" hidden="false" customHeight="true" outlineLevel="0" collapsed="false">
      <c r="A134" s="36" t="str">
        <f aca="false">IF($D$4="","",IF(COUNTA($B134:$W134)+COUNTA($Y134:$AA134)=0,"",$D$4&amp;"-"&amp;TEXT(ROW()-7,"000")))</f>
        <v/>
      </c>
      <c r="B134" s="37"/>
      <c r="C134" s="37"/>
      <c r="D134" s="37"/>
      <c r="E134" s="37"/>
      <c r="F134" s="37"/>
      <c r="G134" s="38"/>
      <c r="H134" s="38"/>
      <c r="I134" s="37"/>
      <c r="J134" s="38"/>
      <c r="K134" s="37"/>
      <c r="L134" s="37"/>
      <c r="M134" s="37"/>
      <c r="N134" s="37"/>
      <c r="O134" s="37"/>
      <c r="P134" s="37"/>
      <c r="Q134" s="37"/>
      <c r="R134" s="37"/>
      <c r="S134" s="37"/>
      <c r="T134" s="37"/>
      <c r="U134" s="37"/>
      <c r="V134" s="37"/>
      <c r="W134" s="37"/>
      <c r="X134" s="36" t="str">
        <f aca="false">IF($A134="","",TRIM($B$4&amp;" "&amp;$D$4))</f>
        <v/>
      </c>
      <c r="Y134" s="37"/>
      <c r="Z134" s="38"/>
      <c r="AA134" s="37"/>
      <c r="AB134" s="39" t="str">
        <f aca="false">IFERROR(IF(COUNTA($B134:$W134)+COUNTA($Y134:$AA134)=0,"",IF(A134="","① 条目ID未生成(先在顶栏填学号与编号)",IF(COUNTIF($A$8:$A$207,A134)&gt;1,"① 条目ID重复",IF(B134="","② 缺文件名称",IF(D134="","④ 缺位阶",IF(E134="","⑤ 缺制定区域",IF(NOT(ISNUMBER(H134)),"⑧ 施行日期须为日期格式 YYYY-MM-DD",IF(AND(I134&lt;&gt;"现行有效",I134&lt;&gt;"",J134=""),"⑩ 非现行有效须填失效/修订日期",IF(AND(ISNUMBER(J134),ISNUMBER(H134),J134&lt;=H134),"⑩ 失效日期须晚于施行日期",IF(K134="","⑪ 缺主题标签(主)",IF(AND(L134&lt;&gt;"",L134=K134),"⑫ 次标签不得与主标签相同",IF(AND(ISERROR(SEARCH("条",M134)),ISERROR(SEARCH("段",M134)),ISERROR(SEARCH("项",M134))),"⑬ 条文定位须到条/款/项或段",IF(OR(N134="",O134="",P134="",Q134=""),"⑭-⑰ 五要素未填全",IF(LEN(Q134)&gt;120,"⑰ 行为模式内容超120字,请再概括",IF(S134="","⑲ 缺原文摘录",IF(LEN(S134)&gt;200,"⑲ 原文摘录超200字,说明条文选得太大",IF(AND(E134="国家",U134=""),"㉑ 国家层须填央地权限配置",IF(AND(E134="国家",V134&lt;&gt;""),"㉒ 国家层不填地方自主权类型",IF(AND(E134&lt;&gt;"国家",V134=""),"㉒ 地方层须填地方自主权类型",IF(AND(E134&lt;&gt;"国家",U134&lt;&gt;""),"㉑ 地方层不填央地权限配置",IF(W134="","㉓ 缺核实来源",IF(X134="","㉔ 缺录入人",IF(Y134="","㉕ 缺版本号","✔ 通过基础校验"))))))))))))))))))))))),"⚠ 自检公式受损(勿用剪切移动单元格),请告知老师修复")</f>
        <v/>
      </c>
    </row>
    <row r="135" customFormat="false" ht="30" hidden="false" customHeight="true" outlineLevel="0" collapsed="false">
      <c r="A135" s="36" t="str">
        <f aca="false">IF($D$4="","",IF(COUNTA($B135:$W135)+COUNTA($Y135:$AA135)=0,"",$D$4&amp;"-"&amp;TEXT(ROW()-7,"000")))</f>
        <v/>
      </c>
      <c r="B135" s="37"/>
      <c r="C135" s="37"/>
      <c r="D135" s="37"/>
      <c r="E135" s="37"/>
      <c r="F135" s="37"/>
      <c r="G135" s="38"/>
      <c r="H135" s="38"/>
      <c r="I135" s="37"/>
      <c r="J135" s="38"/>
      <c r="K135" s="37"/>
      <c r="L135" s="37"/>
      <c r="M135" s="37"/>
      <c r="N135" s="37"/>
      <c r="O135" s="37"/>
      <c r="P135" s="37"/>
      <c r="Q135" s="37"/>
      <c r="R135" s="37"/>
      <c r="S135" s="37"/>
      <c r="T135" s="37"/>
      <c r="U135" s="37"/>
      <c r="V135" s="37"/>
      <c r="W135" s="37"/>
      <c r="X135" s="36" t="str">
        <f aca="false">IF($A135="","",TRIM($B$4&amp;" "&amp;$D$4))</f>
        <v/>
      </c>
      <c r="Y135" s="37"/>
      <c r="Z135" s="38"/>
      <c r="AA135" s="37"/>
      <c r="AB135" s="39" t="str">
        <f aca="false">IFERROR(IF(COUNTA($B135:$W135)+COUNTA($Y135:$AA135)=0,"",IF(A135="","① 条目ID未生成(先在顶栏填学号与编号)",IF(COUNTIF($A$8:$A$207,A135)&gt;1,"① 条目ID重复",IF(B135="","② 缺文件名称",IF(D135="","④ 缺位阶",IF(E135="","⑤ 缺制定区域",IF(NOT(ISNUMBER(H135)),"⑧ 施行日期须为日期格式 YYYY-MM-DD",IF(AND(I135&lt;&gt;"现行有效",I135&lt;&gt;"",J135=""),"⑩ 非现行有效须填失效/修订日期",IF(AND(ISNUMBER(J135),ISNUMBER(H135),J135&lt;=H135),"⑩ 失效日期须晚于施行日期",IF(K135="","⑪ 缺主题标签(主)",IF(AND(L135&lt;&gt;"",L135=K135),"⑫ 次标签不得与主标签相同",IF(AND(ISERROR(SEARCH("条",M135)),ISERROR(SEARCH("段",M135)),ISERROR(SEARCH("项",M135))),"⑬ 条文定位须到条/款/项或段",IF(OR(N135="",O135="",P135="",Q135=""),"⑭-⑰ 五要素未填全",IF(LEN(Q135)&gt;120,"⑰ 行为模式内容超120字,请再概括",IF(S135="","⑲ 缺原文摘录",IF(LEN(S135)&gt;200,"⑲ 原文摘录超200字,说明条文选得太大",IF(AND(E135="国家",U135=""),"㉑ 国家层须填央地权限配置",IF(AND(E135="国家",V135&lt;&gt;""),"㉒ 国家层不填地方自主权类型",IF(AND(E135&lt;&gt;"国家",V135=""),"㉒ 地方层须填地方自主权类型",IF(AND(E135&lt;&gt;"国家",U135&lt;&gt;""),"㉑ 地方层不填央地权限配置",IF(W135="","㉓ 缺核实来源",IF(X135="","㉔ 缺录入人",IF(Y135="","㉕ 缺版本号","✔ 通过基础校验"))))))))))))))))))))))),"⚠ 自检公式受损(勿用剪切移动单元格),请告知老师修复")</f>
        <v/>
      </c>
    </row>
    <row r="136" customFormat="false" ht="30" hidden="false" customHeight="true" outlineLevel="0" collapsed="false">
      <c r="A136" s="36" t="str">
        <f aca="false">IF($D$4="","",IF(COUNTA($B136:$W136)+COUNTA($Y136:$AA136)=0,"",$D$4&amp;"-"&amp;TEXT(ROW()-7,"000")))</f>
        <v/>
      </c>
      <c r="B136" s="37"/>
      <c r="C136" s="37"/>
      <c r="D136" s="37"/>
      <c r="E136" s="37"/>
      <c r="F136" s="37"/>
      <c r="G136" s="38"/>
      <c r="H136" s="38"/>
      <c r="I136" s="37"/>
      <c r="J136" s="38"/>
      <c r="K136" s="37"/>
      <c r="L136" s="37"/>
      <c r="M136" s="37"/>
      <c r="N136" s="37"/>
      <c r="O136" s="37"/>
      <c r="P136" s="37"/>
      <c r="Q136" s="37"/>
      <c r="R136" s="37"/>
      <c r="S136" s="37"/>
      <c r="T136" s="37"/>
      <c r="U136" s="37"/>
      <c r="V136" s="37"/>
      <c r="W136" s="37"/>
      <c r="X136" s="36" t="str">
        <f aca="false">IF($A136="","",TRIM($B$4&amp;" "&amp;$D$4))</f>
        <v/>
      </c>
      <c r="Y136" s="37"/>
      <c r="Z136" s="38"/>
      <c r="AA136" s="37"/>
      <c r="AB136" s="39" t="str">
        <f aca="false">IFERROR(IF(COUNTA($B136:$W136)+COUNTA($Y136:$AA136)=0,"",IF(A136="","① 条目ID未生成(先在顶栏填学号与编号)",IF(COUNTIF($A$8:$A$207,A136)&gt;1,"① 条目ID重复",IF(B136="","② 缺文件名称",IF(D136="","④ 缺位阶",IF(E136="","⑤ 缺制定区域",IF(NOT(ISNUMBER(H136)),"⑧ 施行日期须为日期格式 YYYY-MM-DD",IF(AND(I136&lt;&gt;"现行有效",I136&lt;&gt;"",J136=""),"⑩ 非现行有效须填失效/修订日期",IF(AND(ISNUMBER(J136),ISNUMBER(H136),J136&lt;=H136),"⑩ 失效日期须晚于施行日期",IF(K136="","⑪ 缺主题标签(主)",IF(AND(L136&lt;&gt;"",L136=K136),"⑫ 次标签不得与主标签相同",IF(AND(ISERROR(SEARCH("条",M136)),ISERROR(SEARCH("段",M136)),ISERROR(SEARCH("项",M136))),"⑬ 条文定位须到条/款/项或段",IF(OR(N136="",O136="",P136="",Q136=""),"⑭-⑰ 五要素未填全",IF(LEN(Q136)&gt;120,"⑰ 行为模式内容超120字,请再概括",IF(S136="","⑲ 缺原文摘录",IF(LEN(S136)&gt;200,"⑲ 原文摘录超200字,说明条文选得太大",IF(AND(E136="国家",U136=""),"㉑ 国家层须填央地权限配置",IF(AND(E136="国家",V136&lt;&gt;""),"㉒ 国家层不填地方自主权类型",IF(AND(E136&lt;&gt;"国家",V136=""),"㉒ 地方层须填地方自主权类型",IF(AND(E136&lt;&gt;"国家",U136&lt;&gt;""),"㉑ 地方层不填央地权限配置",IF(W136="","㉓ 缺核实来源",IF(X136="","㉔ 缺录入人",IF(Y136="","㉕ 缺版本号","✔ 通过基础校验"))))))))))))))))))))))),"⚠ 自检公式受损(勿用剪切移动单元格),请告知老师修复")</f>
        <v/>
      </c>
    </row>
    <row r="137" customFormat="false" ht="30" hidden="false" customHeight="true" outlineLevel="0" collapsed="false">
      <c r="A137" s="36" t="str">
        <f aca="false">IF($D$4="","",IF(COUNTA($B137:$W137)+COUNTA($Y137:$AA137)=0,"",$D$4&amp;"-"&amp;TEXT(ROW()-7,"000")))</f>
        <v/>
      </c>
      <c r="B137" s="37"/>
      <c r="C137" s="37"/>
      <c r="D137" s="37"/>
      <c r="E137" s="37"/>
      <c r="F137" s="37"/>
      <c r="G137" s="38"/>
      <c r="H137" s="38"/>
      <c r="I137" s="37"/>
      <c r="J137" s="38"/>
      <c r="K137" s="37"/>
      <c r="L137" s="37"/>
      <c r="M137" s="37"/>
      <c r="N137" s="37"/>
      <c r="O137" s="37"/>
      <c r="P137" s="37"/>
      <c r="Q137" s="37"/>
      <c r="R137" s="37"/>
      <c r="S137" s="37"/>
      <c r="T137" s="37"/>
      <c r="U137" s="37"/>
      <c r="V137" s="37"/>
      <c r="W137" s="37"/>
      <c r="X137" s="36" t="str">
        <f aca="false">IF($A137="","",TRIM($B$4&amp;" "&amp;$D$4))</f>
        <v/>
      </c>
      <c r="Y137" s="37"/>
      <c r="Z137" s="38"/>
      <c r="AA137" s="37"/>
      <c r="AB137" s="39" t="str">
        <f aca="false">IFERROR(IF(COUNTA($B137:$W137)+COUNTA($Y137:$AA137)=0,"",IF(A137="","① 条目ID未生成(先在顶栏填学号与编号)",IF(COUNTIF($A$8:$A$207,A137)&gt;1,"① 条目ID重复",IF(B137="","② 缺文件名称",IF(D137="","④ 缺位阶",IF(E137="","⑤ 缺制定区域",IF(NOT(ISNUMBER(H137)),"⑧ 施行日期须为日期格式 YYYY-MM-DD",IF(AND(I137&lt;&gt;"现行有效",I137&lt;&gt;"",J137=""),"⑩ 非现行有效须填失效/修订日期",IF(AND(ISNUMBER(J137),ISNUMBER(H137),J137&lt;=H137),"⑩ 失效日期须晚于施行日期",IF(K137="","⑪ 缺主题标签(主)",IF(AND(L137&lt;&gt;"",L137=K137),"⑫ 次标签不得与主标签相同",IF(AND(ISERROR(SEARCH("条",M137)),ISERROR(SEARCH("段",M137)),ISERROR(SEARCH("项",M137))),"⑬ 条文定位须到条/款/项或段",IF(OR(N137="",O137="",P137="",Q137=""),"⑭-⑰ 五要素未填全",IF(LEN(Q137)&gt;120,"⑰ 行为模式内容超120字,请再概括",IF(S137="","⑲ 缺原文摘录",IF(LEN(S137)&gt;200,"⑲ 原文摘录超200字,说明条文选得太大",IF(AND(E137="国家",U137=""),"㉑ 国家层须填央地权限配置",IF(AND(E137="国家",V137&lt;&gt;""),"㉒ 国家层不填地方自主权类型",IF(AND(E137&lt;&gt;"国家",V137=""),"㉒ 地方层须填地方自主权类型",IF(AND(E137&lt;&gt;"国家",U137&lt;&gt;""),"㉑ 地方层不填央地权限配置",IF(W137="","㉓ 缺核实来源",IF(X137="","㉔ 缺录入人",IF(Y137="","㉕ 缺版本号","✔ 通过基础校验"))))))))))))))))))))))),"⚠ 自检公式受损(勿用剪切移动单元格),请告知老师修复")</f>
        <v/>
      </c>
    </row>
    <row r="138" customFormat="false" ht="30" hidden="false" customHeight="true" outlineLevel="0" collapsed="false">
      <c r="A138" s="36" t="str">
        <f aca="false">IF($D$4="","",IF(COUNTA($B138:$W138)+COUNTA($Y138:$AA138)=0,"",$D$4&amp;"-"&amp;TEXT(ROW()-7,"000")))</f>
        <v/>
      </c>
      <c r="B138" s="37"/>
      <c r="C138" s="37"/>
      <c r="D138" s="37"/>
      <c r="E138" s="37"/>
      <c r="F138" s="37"/>
      <c r="G138" s="38"/>
      <c r="H138" s="38"/>
      <c r="I138" s="37"/>
      <c r="J138" s="38"/>
      <c r="K138" s="37"/>
      <c r="L138" s="37"/>
      <c r="M138" s="37"/>
      <c r="N138" s="37"/>
      <c r="O138" s="37"/>
      <c r="P138" s="37"/>
      <c r="Q138" s="37"/>
      <c r="R138" s="37"/>
      <c r="S138" s="37"/>
      <c r="T138" s="37"/>
      <c r="U138" s="37"/>
      <c r="V138" s="37"/>
      <c r="W138" s="37"/>
      <c r="X138" s="36" t="str">
        <f aca="false">IF($A138="","",TRIM($B$4&amp;" "&amp;$D$4))</f>
        <v/>
      </c>
      <c r="Y138" s="37"/>
      <c r="Z138" s="38"/>
      <c r="AA138" s="37"/>
      <c r="AB138" s="39" t="str">
        <f aca="false">IFERROR(IF(COUNTA($B138:$W138)+COUNTA($Y138:$AA138)=0,"",IF(A138="","① 条目ID未生成(先在顶栏填学号与编号)",IF(COUNTIF($A$8:$A$207,A138)&gt;1,"① 条目ID重复",IF(B138="","② 缺文件名称",IF(D138="","④ 缺位阶",IF(E138="","⑤ 缺制定区域",IF(NOT(ISNUMBER(H138)),"⑧ 施行日期须为日期格式 YYYY-MM-DD",IF(AND(I138&lt;&gt;"现行有效",I138&lt;&gt;"",J138=""),"⑩ 非现行有效须填失效/修订日期",IF(AND(ISNUMBER(J138),ISNUMBER(H138),J138&lt;=H138),"⑩ 失效日期须晚于施行日期",IF(K138="","⑪ 缺主题标签(主)",IF(AND(L138&lt;&gt;"",L138=K138),"⑫ 次标签不得与主标签相同",IF(AND(ISERROR(SEARCH("条",M138)),ISERROR(SEARCH("段",M138)),ISERROR(SEARCH("项",M138))),"⑬ 条文定位须到条/款/项或段",IF(OR(N138="",O138="",P138="",Q138=""),"⑭-⑰ 五要素未填全",IF(LEN(Q138)&gt;120,"⑰ 行为模式内容超120字,请再概括",IF(S138="","⑲ 缺原文摘录",IF(LEN(S138)&gt;200,"⑲ 原文摘录超200字,说明条文选得太大",IF(AND(E138="国家",U138=""),"㉑ 国家层须填央地权限配置",IF(AND(E138="国家",V138&lt;&gt;""),"㉒ 国家层不填地方自主权类型",IF(AND(E138&lt;&gt;"国家",V138=""),"㉒ 地方层须填地方自主权类型",IF(AND(E138&lt;&gt;"国家",U138&lt;&gt;""),"㉑ 地方层不填央地权限配置",IF(W138="","㉓ 缺核实来源",IF(X138="","㉔ 缺录入人",IF(Y138="","㉕ 缺版本号","✔ 通过基础校验"))))))))))))))))))))))),"⚠ 自检公式受损(勿用剪切移动单元格),请告知老师修复")</f>
        <v/>
      </c>
    </row>
    <row r="139" customFormat="false" ht="30" hidden="false" customHeight="true" outlineLevel="0" collapsed="false">
      <c r="A139" s="36" t="str">
        <f aca="false">IF($D$4="","",IF(COUNTA($B139:$W139)+COUNTA($Y139:$AA139)=0,"",$D$4&amp;"-"&amp;TEXT(ROW()-7,"000")))</f>
        <v/>
      </c>
      <c r="B139" s="37"/>
      <c r="C139" s="37"/>
      <c r="D139" s="37"/>
      <c r="E139" s="37"/>
      <c r="F139" s="37"/>
      <c r="G139" s="38"/>
      <c r="H139" s="38"/>
      <c r="I139" s="37"/>
      <c r="J139" s="38"/>
      <c r="K139" s="37"/>
      <c r="L139" s="37"/>
      <c r="M139" s="37"/>
      <c r="N139" s="37"/>
      <c r="O139" s="37"/>
      <c r="P139" s="37"/>
      <c r="Q139" s="37"/>
      <c r="R139" s="37"/>
      <c r="S139" s="37"/>
      <c r="T139" s="37"/>
      <c r="U139" s="37"/>
      <c r="V139" s="37"/>
      <c r="W139" s="37"/>
      <c r="X139" s="36" t="str">
        <f aca="false">IF($A139="","",TRIM($B$4&amp;" "&amp;$D$4))</f>
        <v/>
      </c>
      <c r="Y139" s="37"/>
      <c r="Z139" s="38"/>
      <c r="AA139" s="37"/>
      <c r="AB139" s="39" t="str">
        <f aca="false">IFERROR(IF(COUNTA($B139:$W139)+COUNTA($Y139:$AA139)=0,"",IF(A139="","① 条目ID未生成(先在顶栏填学号与编号)",IF(COUNTIF($A$8:$A$207,A139)&gt;1,"① 条目ID重复",IF(B139="","② 缺文件名称",IF(D139="","④ 缺位阶",IF(E139="","⑤ 缺制定区域",IF(NOT(ISNUMBER(H139)),"⑧ 施行日期须为日期格式 YYYY-MM-DD",IF(AND(I139&lt;&gt;"现行有效",I139&lt;&gt;"",J139=""),"⑩ 非现行有效须填失效/修订日期",IF(AND(ISNUMBER(J139),ISNUMBER(H139),J139&lt;=H139),"⑩ 失效日期须晚于施行日期",IF(K139="","⑪ 缺主题标签(主)",IF(AND(L139&lt;&gt;"",L139=K139),"⑫ 次标签不得与主标签相同",IF(AND(ISERROR(SEARCH("条",M139)),ISERROR(SEARCH("段",M139)),ISERROR(SEARCH("项",M139))),"⑬ 条文定位须到条/款/项或段",IF(OR(N139="",O139="",P139="",Q139=""),"⑭-⑰ 五要素未填全",IF(LEN(Q139)&gt;120,"⑰ 行为模式内容超120字,请再概括",IF(S139="","⑲ 缺原文摘录",IF(LEN(S139)&gt;200,"⑲ 原文摘录超200字,说明条文选得太大",IF(AND(E139="国家",U139=""),"㉑ 国家层须填央地权限配置",IF(AND(E139="国家",V139&lt;&gt;""),"㉒ 国家层不填地方自主权类型",IF(AND(E139&lt;&gt;"国家",V139=""),"㉒ 地方层须填地方自主权类型",IF(AND(E139&lt;&gt;"国家",U139&lt;&gt;""),"㉑ 地方层不填央地权限配置",IF(W139="","㉓ 缺核实来源",IF(X139="","㉔ 缺录入人",IF(Y139="","㉕ 缺版本号","✔ 通过基础校验"))))))))))))))))))))))),"⚠ 自检公式受损(勿用剪切移动单元格),请告知老师修复")</f>
        <v/>
      </c>
    </row>
    <row r="140" customFormat="false" ht="30" hidden="false" customHeight="true" outlineLevel="0" collapsed="false">
      <c r="A140" s="36" t="str">
        <f aca="false">IF($D$4="","",IF(COUNTA($B140:$W140)+COUNTA($Y140:$AA140)=0,"",$D$4&amp;"-"&amp;TEXT(ROW()-7,"000")))</f>
        <v/>
      </c>
      <c r="B140" s="37"/>
      <c r="C140" s="37"/>
      <c r="D140" s="37"/>
      <c r="E140" s="37"/>
      <c r="F140" s="37"/>
      <c r="G140" s="38"/>
      <c r="H140" s="38"/>
      <c r="I140" s="37"/>
      <c r="J140" s="38"/>
      <c r="K140" s="37"/>
      <c r="L140" s="37"/>
      <c r="M140" s="37"/>
      <c r="N140" s="37"/>
      <c r="O140" s="37"/>
      <c r="P140" s="37"/>
      <c r="Q140" s="37"/>
      <c r="R140" s="37"/>
      <c r="S140" s="37"/>
      <c r="T140" s="37"/>
      <c r="U140" s="37"/>
      <c r="V140" s="37"/>
      <c r="W140" s="37"/>
      <c r="X140" s="36" t="str">
        <f aca="false">IF($A140="","",TRIM($B$4&amp;" "&amp;$D$4))</f>
        <v/>
      </c>
      <c r="Y140" s="37"/>
      <c r="Z140" s="38"/>
      <c r="AA140" s="37"/>
      <c r="AB140" s="39" t="str">
        <f aca="false">IFERROR(IF(COUNTA($B140:$W140)+COUNTA($Y140:$AA140)=0,"",IF(A140="","① 条目ID未生成(先在顶栏填学号与编号)",IF(COUNTIF($A$8:$A$207,A140)&gt;1,"① 条目ID重复",IF(B140="","② 缺文件名称",IF(D140="","④ 缺位阶",IF(E140="","⑤ 缺制定区域",IF(NOT(ISNUMBER(H140)),"⑧ 施行日期须为日期格式 YYYY-MM-DD",IF(AND(I140&lt;&gt;"现行有效",I140&lt;&gt;"",J140=""),"⑩ 非现行有效须填失效/修订日期",IF(AND(ISNUMBER(J140),ISNUMBER(H140),J140&lt;=H140),"⑩ 失效日期须晚于施行日期",IF(K140="","⑪ 缺主题标签(主)",IF(AND(L140&lt;&gt;"",L140=K140),"⑫ 次标签不得与主标签相同",IF(AND(ISERROR(SEARCH("条",M140)),ISERROR(SEARCH("段",M140)),ISERROR(SEARCH("项",M140))),"⑬ 条文定位须到条/款/项或段",IF(OR(N140="",O140="",P140="",Q140=""),"⑭-⑰ 五要素未填全",IF(LEN(Q140)&gt;120,"⑰ 行为模式内容超120字,请再概括",IF(S140="","⑲ 缺原文摘录",IF(LEN(S140)&gt;200,"⑲ 原文摘录超200字,说明条文选得太大",IF(AND(E140="国家",U140=""),"㉑ 国家层须填央地权限配置",IF(AND(E140="国家",V140&lt;&gt;""),"㉒ 国家层不填地方自主权类型",IF(AND(E140&lt;&gt;"国家",V140=""),"㉒ 地方层须填地方自主权类型",IF(AND(E140&lt;&gt;"国家",U140&lt;&gt;""),"㉑ 地方层不填央地权限配置",IF(W140="","㉓ 缺核实来源",IF(X140="","㉔ 缺录入人",IF(Y140="","㉕ 缺版本号","✔ 通过基础校验"))))))))))))))))))))))),"⚠ 自检公式受损(勿用剪切移动单元格),请告知老师修复")</f>
        <v/>
      </c>
    </row>
    <row r="141" customFormat="false" ht="30" hidden="false" customHeight="true" outlineLevel="0" collapsed="false">
      <c r="A141" s="36" t="str">
        <f aca="false">IF($D$4="","",IF(COUNTA($B141:$W141)+COUNTA($Y141:$AA141)=0,"",$D$4&amp;"-"&amp;TEXT(ROW()-7,"000")))</f>
        <v/>
      </c>
      <c r="B141" s="37"/>
      <c r="C141" s="37"/>
      <c r="D141" s="37"/>
      <c r="E141" s="37"/>
      <c r="F141" s="37"/>
      <c r="G141" s="38"/>
      <c r="H141" s="38"/>
      <c r="I141" s="37"/>
      <c r="J141" s="38"/>
      <c r="K141" s="37"/>
      <c r="L141" s="37"/>
      <c r="M141" s="37"/>
      <c r="N141" s="37"/>
      <c r="O141" s="37"/>
      <c r="P141" s="37"/>
      <c r="Q141" s="37"/>
      <c r="R141" s="37"/>
      <c r="S141" s="37"/>
      <c r="T141" s="37"/>
      <c r="U141" s="37"/>
      <c r="V141" s="37"/>
      <c r="W141" s="37"/>
      <c r="X141" s="36" t="str">
        <f aca="false">IF($A141="","",TRIM($B$4&amp;" "&amp;$D$4))</f>
        <v/>
      </c>
      <c r="Y141" s="37"/>
      <c r="Z141" s="38"/>
      <c r="AA141" s="37"/>
      <c r="AB141" s="39" t="str">
        <f aca="false">IFERROR(IF(COUNTA($B141:$W141)+COUNTA($Y141:$AA141)=0,"",IF(A141="","① 条目ID未生成(先在顶栏填学号与编号)",IF(COUNTIF($A$8:$A$207,A141)&gt;1,"① 条目ID重复",IF(B141="","② 缺文件名称",IF(D141="","④ 缺位阶",IF(E141="","⑤ 缺制定区域",IF(NOT(ISNUMBER(H141)),"⑧ 施行日期须为日期格式 YYYY-MM-DD",IF(AND(I141&lt;&gt;"现行有效",I141&lt;&gt;"",J141=""),"⑩ 非现行有效须填失效/修订日期",IF(AND(ISNUMBER(J141),ISNUMBER(H141),J141&lt;=H141),"⑩ 失效日期须晚于施行日期",IF(K141="","⑪ 缺主题标签(主)",IF(AND(L141&lt;&gt;"",L141=K141),"⑫ 次标签不得与主标签相同",IF(AND(ISERROR(SEARCH("条",M141)),ISERROR(SEARCH("段",M141)),ISERROR(SEARCH("项",M141))),"⑬ 条文定位须到条/款/项或段",IF(OR(N141="",O141="",P141="",Q141=""),"⑭-⑰ 五要素未填全",IF(LEN(Q141)&gt;120,"⑰ 行为模式内容超120字,请再概括",IF(S141="","⑲ 缺原文摘录",IF(LEN(S141)&gt;200,"⑲ 原文摘录超200字,说明条文选得太大",IF(AND(E141="国家",U141=""),"㉑ 国家层须填央地权限配置",IF(AND(E141="国家",V141&lt;&gt;""),"㉒ 国家层不填地方自主权类型",IF(AND(E141&lt;&gt;"国家",V141=""),"㉒ 地方层须填地方自主权类型",IF(AND(E141&lt;&gt;"国家",U141&lt;&gt;""),"㉑ 地方层不填央地权限配置",IF(W141="","㉓ 缺核实来源",IF(X141="","㉔ 缺录入人",IF(Y141="","㉕ 缺版本号","✔ 通过基础校验"))))))))))))))))))))))),"⚠ 自检公式受损(勿用剪切移动单元格),请告知老师修复")</f>
        <v/>
      </c>
    </row>
    <row r="142" customFormat="false" ht="30" hidden="false" customHeight="true" outlineLevel="0" collapsed="false">
      <c r="A142" s="36" t="str">
        <f aca="false">IF($D$4="","",IF(COUNTA($B142:$W142)+COUNTA($Y142:$AA142)=0,"",$D$4&amp;"-"&amp;TEXT(ROW()-7,"000")))</f>
        <v/>
      </c>
      <c r="B142" s="37"/>
      <c r="C142" s="37"/>
      <c r="D142" s="37"/>
      <c r="E142" s="37"/>
      <c r="F142" s="37"/>
      <c r="G142" s="38"/>
      <c r="H142" s="38"/>
      <c r="I142" s="37"/>
      <c r="J142" s="38"/>
      <c r="K142" s="37"/>
      <c r="L142" s="37"/>
      <c r="M142" s="37"/>
      <c r="N142" s="37"/>
      <c r="O142" s="37"/>
      <c r="P142" s="37"/>
      <c r="Q142" s="37"/>
      <c r="R142" s="37"/>
      <c r="S142" s="37"/>
      <c r="T142" s="37"/>
      <c r="U142" s="37"/>
      <c r="V142" s="37"/>
      <c r="W142" s="37"/>
      <c r="X142" s="36" t="str">
        <f aca="false">IF($A142="","",TRIM($B$4&amp;" "&amp;$D$4))</f>
        <v/>
      </c>
      <c r="Y142" s="37"/>
      <c r="Z142" s="38"/>
      <c r="AA142" s="37"/>
      <c r="AB142" s="39" t="str">
        <f aca="false">IFERROR(IF(COUNTA($B142:$W142)+COUNTA($Y142:$AA142)=0,"",IF(A142="","① 条目ID未生成(先在顶栏填学号与编号)",IF(COUNTIF($A$8:$A$207,A142)&gt;1,"① 条目ID重复",IF(B142="","② 缺文件名称",IF(D142="","④ 缺位阶",IF(E142="","⑤ 缺制定区域",IF(NOT(ISNUMBER(H142)),"⑧ 施行日期须为日期格式 YYYY-MM-DD",IF(AND(I142&lt;&gt;"现行有效",I142&lt;&gt;"",J142=""),"⑩ 非现行有效须填失效/修订日期",IF(AND(ISNUMBER(J142),ISNUMBER(H142),J142&lt;=H142),"⑩ 失效日期须晚于施行日期",IF(K142="","⑪ 缺主题标签(主)",IF(AND(L142&lt;&gt;"",L142=K142),"⑫ 次标签不得与主标签相同",IF(AND(ISERROR(SEARCH("条",M142)),ISERROR(SEARCH("段",M142)),ISERROR(SEARCH("项",M142))),"⑬ 条文定位须到条/款/项或段",IF(OR(N142="",O142="",P142="",Q142=""),"⑭-⑰ 五要素未填全",IF(LEN(Q142)&gt;120,"⑰ 行为模式内容超120字,请再概括",IF(S142="","⑲ 缺原文摘录",IF(LEN(S142)&gt;200,"⑲ 原文摘录超200字,说明条文选得太大",IF(AND(E142="国家",U142=""),"㉑ 国家层须填央地权限配置",IF(AND(E142="国家",V142&lt;&gt;""),"㉒ 国家层不填地方自主权类型",IF(AND(E142&lt;&gt;"国家",V142=""),"㉒ 地方层须填地方自主权类型",IF(AND(E142&lt;&gt;"国家",U142&lt;&gt;""),"㉑ 地方层不填央地权限配置",IF(W142="","㉓ 缺核实来源",IF(X142="","㉔ 缺录入人",IF(Y142="","㉕ 缺版本号","✔ 通过基础校验"))))))))))))))))))))))),"⚠ 自检公式受损(勿用剪切移动单元格),请告知老师修复")</f>
        <v/>
      </c>
    </row>
    <row r="143" customFormat="false" ht="30" hidden="false" customHeight="true" outlineLevel="0" collapsed="false">
      <c r="A143" s="36" t="str">
        <f aca="false">IF($D$4="","",IF(COUNTA($B143:$W143)+COUNTA($Y143:$AA143)=0,"",$D$4&amp;"-"&amp;TEXT(ROW()-7,"000")))</f>
        <v/>
      </c>
      <c r="B143" s="37"/>
      <c r="C143" s="37"/>
      <c r="D143" s="37"/>
      <c r="E143" s="37"/>
      <c r="F143" s="37"/>
      <c r="G143" s="38"/>
      <c r="H143" s="38"/>
      <c r="I143" s="37"/>
      <c r="J143" s="38"/>
      <c r="K143" s="37"/>
      <c r="L143" s="37"/>
      <c r="M143" s="37"/>
      <c r="N143" s="37"/>
      <c r="O143" s="37"/>
      <c r="P143" s="37"/>
      <c r="Q143" s="37"/>
      <c r="R143" s="37"/>
      <c r="S143" s="37"/>
      <c r="T143" s="37"/>
      <c r="U143" s="37"/>
      <c r="V143" s="37"/>
      <c r="W143" s="37"/>
      <c r="X143" s="36" t="str">
        <f aca="false">IF($A143="","",TRIM($B$4&amp;" "&amp;$D$4))</f>
        <v/>
      </c>
      <c r="Y143" s="37"/>
      <c r="Z143" s="38"/>
      <c r="AA143" s="37"/>
      <c r="AB143" s="39" t="str">
        <f aca="false">IFERROR(IF(COUNTA($B143:$W143)+COUNTA($Y143:$AA143)=0,"",IF(A143="","① 条目ID未生成(先在顶栏填学号与编号)",IF(COUNTIF($A$8:$A$207,A143)&gt;1,"① 条目ID重复",IF(B143="","② 缺文件名称",IF(D143="","④ 缺位阶",IF(E143="","⑤ 缺制定区域",IF(NOT(ISNUMBER(H143)),"⑧ 施行日期须为日期格式 YYYY-MM-DD",IF(AND(I143&lt;&gt;"现行有效",I143&lt;&gt;"",J143=""),"⑩ 非现行有效须填失效/修订日期",IF(AND(ISNUMBER(J143),ISNUMBER(H143),J143&lt;=H143),"⑩ 失效日期须晚于施行日期",IF(K143="","⑪ 缺主题标签(主)",IF(AND(L143&lt;&gt;"",L143=K143),"⑫ 次标签不得与主标签相同",IF(AND(ISERROR(SEARCH("条",M143)),ISERROR(SEARCH("段",M143)),ISERROR(SEARCH("项",M143))),"⑬ 条文定位须到条/款/项或段",IF(OR(N143="",O143="",P143="",Q143=""),"⑭-⑰ 五要素未填全",IF(LEN(Q143)&gt;120,"⑰ 行为模式内容超120字,请再概括",IF(S143="","⑲ 缺原文摘录",IF(LEN(S143)&gt;200,"⑲ 原文摘录超200字,说明条文选得太大",IF(AND(E143="国家",U143=""),"㉑ 国家层须填央地权限配置",IF(AND(E143="国家",V143&lt;&gt;""),"㉒ 国家层不填地方自主权类型",IF(AND(E143&lt;&gt;"国家",V143=""),"㉒ 地方层须填地方自主权类型",IF(AND(E143&lt;&gt;"国家",U143&lt;&gt;""),"㉑ 地方层不填央地权限配置",IF(W143="","㉓ 缺核实来源",IF(X143="","㉔ 缺录入人",IF(Y143="","㉕ 缺版本号","✔ 通过基础校验"))))))))))))))))))))))),"⚠ 自检公式受损(勿用剪切移动单元格),请告知老师修复")</f>
        <v/>
      </c>
    </row>
    <row r="144" customFormat="false" ht="30" hidden="false" customHeight="true" outlineLevel="0" collapsed="false">
      <c r="A144" s="36" t="str">
        <f aca="false">IF($D$4="","",IF(COUNTA($B144:$W144)+COUNTA($Y144:$AA144)=0,"",$D$4&amp;"-"&amp;TEXT(ROW()-7,"000")))</f>
        <v/>
      </c>
      <c r="B144" s="37"/>
      <c r="C144" s="37"/>
      <c r="D144" s="37"/>
      <c r="E144" s="37"/>
      <c r="F144" s="37"/>
      <c r="G144" s="38"/>
      <c r="H144" s="38"/>
      <c r="I144" s="37"/>
      <c r="J144" s="38"/>
      <c r="K144" s="37"/>
      <c r="L144" s="37"/>
      <c r="M144" s="37"/>
      <c r="N144" s="37"/>
      <c r="O144" s="37"/>
      <c r="P144" s="37"/>
      <c r="Q144" s="37"/>
      <c r="R144" s="37"/>
      <c r="S144" s="37"/>
      <c r="T144" s="37"/>
      <c r="U144" s="37"/>
      <c r="V144" s="37"/>
      <c r="W144" s="37"/>
      <c r="X144" s="36" t="str">
        <f aca="false">IF($A144="","",TRIM($B$4&amp;" "&amp;$D$4))</f>
        <v/>
      </c>
      <c r="Y144" s="37"/>
      <c r="Z144" s="38"/>
      <c r="AA144" s="37"/>
      <c r="AB144" s="39" t="str">
        <f aca="false">IFERROR(IF(COUNTA($B144:$W144)+COUNTA($Y144:$AA144)=0,"",IF(A144="","① 条目ID未生成(先在顶栏填学号与编号)",IF(COUNTIF($A$8:$A$207,A144)&gt;1,"① 条目ID重复",IF(B144="","② 缺文件名称",IF(D144="","④ 缺位阶",IF(E144="","⑤ 缺制定区域",IF(NOT(ISNUMBER(H144)),"⑧ 施行日期须为日期格式 YYYY-MM-DD",IF(AND(I144&lt;&gt;"现行有效",I144&lt;&gt;"",J144=""),"⑩ 非现行有效须填失效/修订日期",IF(AND(ISNUMBER(J144),ISNUMBER(H144),J144&lt;=H144),"⑩ 失效日期须晚于施行日期",IF(K144="","⑪ 缺主题标签(主)",IF(AND(L144&lt;&gt;"",L144=K144),"⑫ 次标签不得与主标签相同",IF(AND(ISERROR(SEARCH("条",M144)),ISERROR(SEARCH("段",M144)),ISERROR(SEARCH("项",M144))),"⑬ 条文定位须到条/款/项或段",IF(OR(N144="",O144="",P144="",Q144=""),"⑭-⑰ 五要素未填全",IF(LEN(Q144)&gt;120,"⑰ 行为模式内容超120字,请再概括",IF(S144="","⑲ 缺原文摘录",IF(LEN(S144)&gt;200,"⑲ 原文摘录超200字,说明条文选得太大",IF(AND(E144="国家",U144=""),"㉑ 国家层须填央地权限配置",IF(AND(E144="国家",V144&lt;&gt;""),"㉒ 国家层不填地方自主权类型",IF(AND(E144&lt;&gt;"国家",V144=""),"㉒ 地方层须填地方自主权类型",IF(AND(E144&lt;&gt;"国家",U144&lt;&gt;""),"㉑ 地方层不填央地权限配置",IF(W144="","㉓ 缺核实来源",IF(X144="","㉔ 缺录入人",IF(Y144="","㉕ 缺版本号","✔ 通过基础校验"))))))))))))))))))))))),"⚠ 自检公式受损(勿用剪切移动单元格),请告知老师修复")</f>
        <v/>
      </c>
    </row>
    <row r="145" customFormat="false" ht="30" hidden="false" customHeight="true" outlineLevel="0" collapsed="false">
      <c r="A145" s="36" t="str">
        <f aca="false">IF($D$4="","",IF(COUNTA($B145:$W145)+COUNTA($Y145:$AA145)=0,"",$D$4&amp;"-"&amp;TEXT(ROW()-7,"000")))</f>
        <v/>
      </c>
      <c r="B145" s="37"/>
      <c r="C145" s="37"/>
      <c r="D145" s="37"/>
      <c r="E145" s="37"/>
      <c r="F145" s="37"/>
      <c r="G145" s="38"/>
      <c r="H145" s="38"/>
      <c r="I145" s="37"/>
      <c r="J145" s="38"/>
      <c r="K145" s="37"/>
      <c r="L145" s="37"/>
      <c r="M145" s="37"/>
      <c r="N145" s="37"/>
      <c r="O145" s="37"/>
      <c r="P145" s="37"/>
      <c r="Q145" s="37"/>
      <c r="R145" s="37"/>
      <c r="S145" s="37"/>
      <c r="T145" s="37"/>
      <c r="U145" s="37"/>
      <c r="V145" s="37"/>
      <c r="W145" s="37"/>
      <c r="X145" s="36" t="str">
        <f aca="false">IF($A145="","",TRIM($B$4&amp;" "&amp;$D$4))</f>
        <v/>
      </c>
      <c r="Y145" s="37"/>
      <c r="Z145" s="38"/>
      <c r="AA145" s="37"/>
      <c r="AB145" s="39" t="str">
        <f aca="false">IFERROR(IF(COUNTA($B145:$W145)+COUNTA($Y145:$AA145)=0,"",IF(A145="","① 条目ID未生成(先在顶栏填学号与编号)",IF(COUNTIF($A$8:$A$207,A145)&gt;1,"① 条目ID重复",IF(B145="","② 缺文件名称",IF(D145="","④ 缺位阶",IF(E145="","⑤ 缺制定区域",IF(NOT(ISNUMBER(H145)),"⑧ 施行日期须为日期格式 YYYY-MM-DD",IF(AND(I145&lt;&gt;"现行有效",I145&lt;&gt;"",J145=""),"⑩ 非现行有效须填失效/修订日期",IF(AND(ISNUMBER(J145),ISNUMBER(H145),J145&lt;=H145),"⑩ 失效日期须晚于施行日期",IF(K145="","⑪ 缺主题标签(主)",IF(AND(L145&lt;&gt;"",L145=K145),"⑫ 次标签不得与主标签相同",IF(AND(ISERROR(SEARCH("条",M145)),ISERROR(SEARCH("段",M145)),ISERROR(SEARCH("项",M145))),"⑬ 条文定位须到条/款/项或段",IF(OR(N145="",O145="",P145="",Q145=""),"⑭-⑰ 五要素未填全",IF(LEN(Q145)&gt;120,"⑰ 行为模式内容超120字,请再概括",IF(S145="","⑲ 缺原文摘录",IF(LEN(S145)&gt;200,"⑲ 原文摘录超200字,说明条文选得太大",IF(AND(E145="国家",U145=""),"㉑ 国家层须填央地权限配置",IF(AND(E145="国家",V145&lt;&gt;""),"㉒ 国家层不填地方自主权类型",IF(AND(E145&lt;&gt;"国家",V145=""),"㉒ 地方层须填地方自主权类型",IF(AND(E145&lt;&gt;"国家",U145&lt;&gt;""),"㉑ 地方层不填央地权限配置",IF(W145="","㉓ 缺核实来源",IF(X145="","㉔ 缺录入人",IF(Y145="","㉕ 缺版本号","✔ 通过基础校验"))))))))))))))))))))))),"⚠ 自检公式受损(勿用剪切移动单元格),请告知老师修复")</f>
        <v/>
      </c>
    </row>
    <row r="146" customFormat="false" ht="30" hidden="false" customHeight="true" outlineLevel="0" collapsed="false">
      <c r="A146" s="36" t="str">
        <f aca="false">IF($D$4="","",IF(COUNTA($B146:$W146)+COUNTA($Y146:$AA146)=0,"",$D$4&amp;"-"&amp;TEXT(ROW()-7,"000")))</f>
        <v/>
      </c>
      <c r="B146" s="37"/>
      <c r="C146" s="37"/>
      <c r="D146" s="37"/>
      <c r="E146" s="37"/>
      <c r="F146" s="37"/>
      <c r="G146" s="38"/>
      <c r="H146" s="38"/>
      <c r="I146" s="37"/>
      <c r="J146" s="38"/>
      <c r="K146" s="37"/>
      <c r="L146" s="37"/>
      <c r="M146" s="37"/>
      <c r="N146" s="37"/>
      <c r="O146" s="37"/>
      <c r="P146" s="37"/>
      <c r="Q146" s="37"/>
      <c r="R146" s="37"/>
      <c r="S146" s="37"/>
      <c r="T146" s="37"/>
      <c r="U146" s="37"/>
      <c r="V146" s="37"/>
      <c r="W146" s="37"/>
      <c r="X146" s="36" t="str">
        <f aca="false">IF($A146="","",TRIM($B$4&amp;" "&amp;$D$4))</f>
        <v/>
      </c>
      <c r="Y146" s="37"/>
      <c r="Z146" s="38"/>
      <c r="AA146" s="37"/>
      <c r="AB146" s="39" t="str">
        <f aca="false">IFERROR(IF(COUNTA($B146:$W146)+COUNTA($Y146:$AA146)=0,"",IF(A146="","① 条目ID未生成(先在顶栏填学号与编号)",IF(COUNTIF($A$8:$A$207,A146)&gt;1,"① 条目ID重复",IF(B146="","② 缺文件名称",IF(D146="","④ 缺位阶",IF(E146="","⑤ 缺制定区域",IF(NOT(ISNUMBER(H146)),"⑧ 施行日期须为日期格式 YYYY-MM-DD",IF(AND(I146&lt;&gt;"现行有效",I146&lt;&gt;"",J146=""),"⑩ 非现行有效须填失效/修订日期",IF(AND(ISNUMBER(J146),ISNUMBER(H146),J146&lt;=H146),"⑩ 失效日期须晚于施行日期",IF(K146="","⑪ 缺主题标签(主)",IF(AND(L146&lt;&gt;"",L146=K146),"⑫ 次标签不得与主标签相同",IF(AND(ISERROR(SEARCH("条",M146)),ISERROR(SEARCH("段",M146)),ISERROR(SEARCH("项",M146))),"⑬ 条文定位须到条/款/项或段",IF(OR(N146="",O146="",P146="",Q146=""),"⑭-⑰ 五要素未填全",IF(LEN(Q146)&gt;120,"⑰ 行为模式内容超120字,请再概括",IF(S146="","⑲ 缺原文摘录",IF(LEN(S146)&gt;200,"⑲ 原文摘录超200字,说明条文选得太大",IF(AND(E146="国家",U146=""),"㉑ 国家层须填央地权限配置",IF(AND(E146="国家",V146&lt;&gt;""),"㉒ 国家层不填地方自主权类型",IF(AND(E146&lt;&gt;"国家",V146=""),"㉒ 地方层须填地方自主权类型",IF(AND(E146&lt;&gt;"国家",U146&lt;&gt;""),"㉑ 地方层不填央地权限配置",IF(W146="","㉓ 缺核实来源",IF(X146="","㉔ 缺录入人",IF(Y146="","㉕ 缺版本号","✔ 通过基础校验"))))))))))))))))))))))),"⚠ 自检公式受损(勿用剪切移动单元格),请告知老师修复")</f>
        <v/>
      </c>
    </row>
    <row r="147" customFormat="false" ht="30" hidden="false" customHeight="true" outlineLevel="0" collapsed="false">
      <c r="A147" s="36" t="str">
        <f aca="false">IF($D$4="","",IF(COUNTA($B147:$W147)+COUNTA($Y147:$AA147)=0,"",$D$4&amp;"-"&amp;TEXT(ROW()-7,"000")))</f>
        <v/>
      </c>
      <c r="B147" s="37"/>
      <c r="C147" s="37"/>
      <c r="D147" s="37"/>
      <c r="E147" s="37"/>
      <c r="F147" s="37"/>
      <c r="G147" s="38"/>
      <c r="H147" s="38"/>
      <c r="I147" s="37"/>
      <c r="J147" s="38"/>
      <c r="K147" s="37"/>
      <c r="L147" s="37"/>
      <c r="M147" s="37"/>
      <c r="N147" s="37"/>
      <c r="O147" s="37"/>
      <c r="P147" s="37"/>
      <c r="Q147" s="37"/>
      <c r="R147" s="37"/>
      <c r="S147" s="37"/>
      <c r="T147" s="37"/>
      <c r="U147" s="37"/>
      <c r="V147" s="37"/>
      <c r="W147" s="37"/>
      <c r="X147" s="36" t="str">
        <f aca="false">IF($A147="","",TRIM($B$4&amp;" "&amp;$D$4))</f>
        <v/>
      </c>
      <c r="Y147" s="37"/>
      <c r="Z147" s="38"/>
      <c r="AA147" s="37"/>
      <c r="AB147" s="39" t="str">
        <f aca="false">IFERROR(IF(COUNTA($B147:$W147)+COUNTA($Y147:$AA147)=0,"",IF(A147="","① 条目ID未生成(先在顶栏填学号与编号)",IF(COUNTIF($A$8:$A$207,A147)&gt;1,"① 条目ID重复",IF(B147="","② 缺文件名称",IF(D147="","④ 缺位阶",IF(E147="","⑤ 缺制定区域",IF(NOT(ISNUMBER(H147)),"⑧ 施行日期须为日期格式 YYYY-MM-DD",IF(AND(I147&lt;&gt;"现行有效",I147&lt;&gt;"",J147=""),"⑩ 非现行有效须填失效/修订日期",IF(AND(ISNUMBER(J147),ISNUMBER(H147),J147&lt;=H147),"⑩ 失效日期须晚于施行日期",IF(K147="","⑪ 缺主题标签(主)",IF(AND(L147&lt;&gt;"",L147=K147),"⑫ 次标签不得与主标签相同",IF(AND(ISERROR(SEARCH("条",M147)),ISERROR(SEARCH("段",M147)),ISERROR(SEARCH("项",M147))),"⑬ 条文定位须到条/款/项或段",IF(OR(N147="",O147="",P147="",Q147=""),"⑭-⑰ 五要素未填全",IF(LEN(Q147)&gt;120,"⑰ 行为模式内容超120字,请再概括",IF(S147="","⑲ 缺原文摘录",IF(LEN(S147)&gt;200,"⑲ 原文摘录超200字,说明条文选得太大",IF(AND(E147="国家",U147=""),"㉑ 国家层须填央地权限配置",IF(AND(E147="国家",V147&lt;&gt;""),"㉒ 国家层不填地方自主权类型",IF(AND(E147&lt;&gt;"国家",V147=""),"㉒ 地方层须填地方自主权类型",IF(AND(E147&lt;&gt;"国家",U147&lt;&gt;""),"㉑ 地方层不填央地权限配置",IF(W147="","㉓ 缺核实来源",IF(X147="","㉔ 缺录入人",IF(Y147="","㉕ 缺版本号","✔ 通过基础校验"))))))))))))))))))))))),"⚠ 自检公式受损(勿用剪切移动单元格),请告知老师修复")</f>
        <v/>
      </c>
    </row>
    <row r="148" customFormat="false" ht="30" hidden="false" customHeight="true" outlineLevel="0" collapsed="false">
      <c r="A148" s="36" t="str">
        <f aca="false">IF($D$4="","",IF(COUNTA($B148:$W148)+COUNTA($Y148:$AA148)=0,"",$D$4&amp;"-"&amp;TEXT(ROW()-7,"000")))</f>
        <v/>
      </c>
      <c r="B148" s="37"/>
      <c r="C148" s="37"/>
      <c r="D148" s="37"/>
      <c r="E148" s="37"/>
      <c r="F148" s="37"/>
      <c r="G148" s="38"/>
      <c r="H148" s="38"/>
      <c r="I148" s="37"/>
      <c r="J148" s="38"/>
      <c r="K148" s="37"/>
      <c r="L148" s="37"/>
      <c r="M148" s="37"/>
      <c r="N148" s="37"/>
      <c r="O148" s="37"/>
      <c r="P148" s="37"/>
      <c r="Q148" s="37"/>
      <c r="R148" s="37"/>
      <c r="S148" s="37"/>
      <c r="T148" s="37"/>
      <c r="U148" s="37"/>
      <c r="V148" s="37"/>
      <c r="W148" s="37"/>
      <c r="X148" s="36" t="str">
        <f aca="false">IF($A148="","",TRIM($B$4&amp;" "&amp;$D$4))</f>
        <v/>
      </c>
      <c r="Y148" s="37"/>
      <c r="Z148" s="38"/>
      <c r="AA148" s="37"/>
      <c r="AB148" s="39" t="str">
        <f aca="false">IFERROR(IF(COUNTA($B148:$W148)+COUNTA($Y148:$AA148)=0,"",IF(A148="","① 条目ID未生成(先在顶栏填学号与编号)",IF(COUNTIF($A$8:$A$207,A148)&gt;1,"① 条目ID重复",IF(B148="","② 缺文件名称",IF(D148="","④ 缺位阶",IF(E148="","⑤ 缺制定区域",IF(NOT(ISNUMBER(H148)),"⑧ 施行日期须为日期格式 YYYY-MM-DD",IF(AND(I148&lt;&gt;"现行有效",I148&lt;&gt;"",J148=""),"⑩ 非现行有效须填失效/修订日期",IF(AND(ISNUMBER(J148),ISNUMBER(H148),J148&lt;=H148),"⑩ 失效日期须晚于施行日期",IF(K148="","⑪ 缺主题标签(主)",IF(AND(L148&lt;&gt;"",L148=K148),"⑫ 次标签不得与主标签相同",IF(AND(ISERROR(SEARCH("条",M148)),ISERROR(SEARCH("段",M148)),ISERROR(SEARCH("项",M148))),"⑬ 条文定位须到条/款/项或段",IF(OR(N148="",O148="",P148="",Q148=""),"⑭-⑰ 五要素未填全",IF(LEN(Q148)&gt;120,"⑰ 行为模式内容超120字,请再概括",IF(S148="","⑲ 缺原文摘录",IF(LEN(S148)&gt;200,"⑲ 原文摘录超200字,说明条文选得太大",IF(AND(E148="国家",U148=""),"㉑ 国家层须填央地权限配置",IF(AND(E148="国家",V148&lt;&gt;""),"㉒ 国家层不填地方自主权类型",IF(AND(E148&lt;&gt;"国家",V148=""),"㉒ 地方层须填地方自主权类型",IF(AND(E148&lt;&gt;"国家",U148&lt;&gt;""),"㉑ 地方层不填央地权限配置",IF(W148="","㉓ 缺核实来源",IF(X148="","㉔ 缺录入人",IF(Y148="","㉕ 缺版本号","✔ 通过基础校验"))))))))))))))))))))))),"⚠ 自检公式受损(勿用剪切移动单元格),请告知老师修复")</f>
        <v/>
      </c>
    </row>
    <row r="149" customFormat="false" ht="30" hidden="false" customHeight="true" outlineLevel="0" collapsed="false">
      <c r="A149" s="36" t="str">
        <f aca="false">IF($D$4="","",IF(COUNTA($B149:$W149)+COUNTA($Y149:$AA149)=0,"",$D$4&amp;"-"&amp;TEXT(ROW()-7,"000")))</f>
        <v/>
      </c>
      <c r="B149" s="37"/>
      <c r="C149" s="37"/>
      <c r="D149" s="37"/>
      <c r="E149" s="37"/>
      <c r="F149" s="37"/>
      <c r="G149" s="38"/>
      <c r="H149" s="38"/>
      <c r="I149" s="37"/>
      <c r="J149" s="38"/>
      <c r="K149" s="37"/>
      <c r="L149" s="37"/>
      <c r="M149" s="37"/>
      <c r="N149" s="37"/>
      <c r="O149" s="37"/>
      <c r="P149" s="37"/>
      <c r="Q149" s="37"/>
      <c r="R149" s="37"/>
      <c r="S149" s="37"/>
      <c r="T149" s="37"/>
      <c r="U149" s="37"/>
      <c r="V149" s="37"/>
      <c r="W149" s="37"/>
      <c r="X149" s="36" t="str">
        <f aca="false">IF($A149="","",TRIM($B$4&amp;" "&amp;$D$4))</f>
        <v/>
      </c>
      <c r="Y149" s="37"/>
      <c r="Z149" s="38"/>
      <c r="AA149" s="37"/>
      <c r="AB149" s="39" t="str">
        <f aca="false">IFERROR(IF(COUNTA($B149:$W149)+COUNTA($Y149:$AA149)=0,"",IF(A149="","① 条目ID未生成(先在顶栏填学号与编号)",IF(COUNTIF($A$8:$A$207,A149)&gt;1,"① 条目ID重复",IF(B149="","② 缺文件名称",IF(D149="","④ 缺位阶",IF(E149="","⑤ 缺制定区域",IF(NOT(ISNUMBER(H149)),"⑧ 施行日期须为日期格式 YYYY-MM-DD",IF(AND(I149&lt;&gt;"现行有效",I149&lt;&gt;"",J149=""),"⑩ 非现行有效须填失效/修订日期",IF(AND(ISNUMBER(J149),ISNUMBER(H149),J149&lt;=H149),"⑩ 失效日期须晚于施行日期",IF(K149="","⑪ 缺主题标签(主)",IF(AND(L149&lt;&gt;"",L149=K149),"⑫ 次标签不得与主标签相同",IF(AND(ISERROR(SEARCH("条",M149)),ISERROR(SEARCH("段",M149)),ISERROR(SEARCH("项",M149))),"⑬ 条文定位须到条/款/项或段",IF(OR(N149="",O149="",P149="",Q149=""),"⑭-⑰ 五要素未填全",IF(LEN(Q149)&gt;120,"⑰ 行为模式内容超120字,请再概括",IF(S149="","⑲ 缺原文摘录",IF(LEN(S149)&gt;200,"⑲ 原文摘录超200字,说明条文选得太大",IF(AND(E149="国家",U149=""),"㉑ 国家层须填央地权限配置",IF(AND(E149="国家",V149&lt;&gt;""),"㉒ 国家层不填地方自主权类型",IF(AND(E149&lt;&gt;"国家",V149=""),"㉒ 地方层须填地方自主权类型",IF(AND(E149&lt;&gt;"国家",U149&lt;&gt;""),"㉑ 地方层不填央地权限配置",IF(W149="","㉓ 缺核实来源",IF(X149="","㉔ 缺录入人",IF(Y149="","㉕ 缺版本号","✔ 通过基础校验"))))))))))))))))))))))),"⚠ 自检公式受损(勿用剪切移动单元格),请告知老师修复")</f>
        <v/>
      </c>
    </row>
    <row r="150" customFormat="false" ht="30" hidden="false" customHeight="true" outlineLevel="0" collapsed="false">
      <c r="A150" s="36" t="str">
        <f aca="false">IF($D$4="","",IF(COUNTA($B150:$W150)+COUNTA($Y150:$AA150)=0,"",$D$4&amp;"-"&amp;TEXT(ROW()-7,"000")))</f>
        <v/>
      </c>
      <c r="B150" s="37"/>
      <c r="C150" s="37"/>
      <c r="D150" s="37"/>
      <c r="E150" s="37"/>
      <c r="F150" s="37"/>
      <c r="G150" s="38"/>
      <c r="H150" s="38"/>
      <c r="I150" s="37"/>
      <c r="J150" s="38"/>
      <c r="K150" s="37"/>
      <c r="L150" s="37"/>
      <c r="M150" s="37"/>
      <c r="N150" s="37"/>
      <c r="O150" s="37"/>
      <c r="P150" s="37"/>
      <c r="Q150" s="37"/>
      <c r="R150" s="37"/>
      <c r="S150" s="37"/>
      <c r="T150" s="37"/>
      <c r="U150" s="37"/>
      <c r="V150" s="37"/>
      <c r="W150" s="37"/>
      <c r="X150" s="36" t="str">
        <f aca="false">IF($A150="","",TRIM($B$4&amp;" "&amp;$D$4))</f>
        <v/>
      </c>
      <c r="Y150" s="37"/>
      <c r="Z150" s="38"/>
      <c r="AA150" s="37"/>
      <c r="AB150" s="39" t="str">
        <f aca="false">IFERROR(IF(COUNTA($B150:$W150)+COUNTA($Y150:$AA150)=0,"",IF(A150="","① 条目ID未生成(先在顶栏填学号与编号)",IF(COUNTIF($A$8:$A$207,A150)&gt;1,"① 条目ID重复",IF(B150="","② 缺文件名称",IF(D150="","④ 缺位阶",IF(E150="","⑤ 缺制定区域",IF(NOT(ISNUMBER(H150)),"⑧ 施行日期须为日期格式 YYYY-MM-DD",IF(AND(I150&lt;&gt;"现行有效",I150&lt;&gt;"",J150=""),"⑩ 非现行有效须填失效/修订日期",IF(AND(ISNUMBER(J150),ISNUMBER(H150),J150&lt;=H150),"⑩ 失效日期须晚于施行日期",IF(K150="","⑪ 缺主题标签(主)",IF(AND(L150&lt;&gt;"",L150=K150),"⑫ 次标签不得与主标签相同",IF(AND(ISERROR(SEARCH("条",M150)),ISERROR(SEARCH("段",M150)),ISERROR(SEARCH("项",M150))),"⑬ 条文定位须到条/款/项或段",IF(OR(N150="",O150="",P150="",Q150=""),"⑭-⑰ 五要素未填全",IF(LEN(Q150)&gt;120,"⑰ 行为模式内容超120字,请再概括",IF(S150="","⑲ 缺原文摘录",IF(LEN(S150)&gt;200,"⑲ 原文摘录超200字,说明条文选得太大",IF(AND(E150="国家",U150=""),"㉑ 国家层须填央地权限配置",IF(AND(E150="国家",V150&lt;&gt;""),"㉒ 国家层不填地方自主权类型",IF(AND(E150&lt;&gt;"国家",V150=""),"㉒ 地方层须填地方自主权类型",IF(AND(E150&lt;&gt;"国家",U150&lt;&gt;""),"㉑ 地方层不填央地权限配置",IF(W150="","㉓ 缺核实来源",IF(X150="","㉔ 缺录入人",IF(Y150="","㉕ 缺版本号","✔ 通过基础校验"))))))))))))))))))))))),"⚠ 自检公式受损(勿用剪切移动单元格),请告知老师修复")</f>
        <v/>
      </c>
    </row>
    <row r="151" customFormat="false" ht="30" hidden="false" customHeight="true" outlineLevel="0" collapsed="false">
      <c r="A151" s="36" t="str">
        <f aca="false">IF($D$4="","",IF(COUNTA($B151:$W151)+COUNTA($Y151:$AA151)=0,"",$D$4&amp;"-"&amp;TEXT(ROW()-7,"000")))</f>
        <v/>
      </c>
      <c r="B151" s="37"/>
      <c r="C151" s="37"/>
      <c r="D151" s="37"/>
      <c r="E151" s="37"/>
      <c r="F151" s="37"/>
      <c r="G151" s="38"/>
      <c r="H151" s="38"/>
      <c r="I151" s="37"/>
      <c r="J151" s="38"/>
      <c r="K151" s="37"/>
      <c r="L151" s="37"/>
      <c r="M151" s="37"/>
      <c r="N151" s="37"/>
      <c r="O151" s="37"/>
      <c r="P151" s="37"/>
      <c r="Q151" s="37"/>
      <c r="R151" s="37"/>
      <c r="S151" s="37"/>
      <c r="T151" s="37"/>
      <c r="U151" s="37"/>
      <c r="V151" s="37"/>
      <c r="W151" s="37"/>
      <c r="X151" s="36" t="str">
        <f aca="false">IF($A151="","",TRIM($B$4&amp;" "&amp;$D$4))</f>
        <v/>
      </c>
      <c r="Y151" s="37"/>
      <c r="Z151" s="38"/>
      <c r="AA151" s="37"/>
      <c r="AB151" s="39" t="str">
        <f aca="false">IFERROR(IF(COUNTA($B151:$W151)+COUNTA($Y151:$AA151)=0,"",IF(A151="","① 条目ID未生成(先在顶栏填学号与编号)",IF(COUNTIF($A$8:$A$207,A151)&gt;1,"① 条目ID重复",IF(B151="","② 缺文件名称",IF(D151="","④ 缺位阶",IF(E151="","⑤ 缺制定区域",IF(NOT(ISNUMBER(H151)),"⑧ 施行日期须为日期格式 YYYY-MM-DD",IF(AND(I151&lt;&gt;"现行有效",I151&lt;&gt;"",J151=""),"⑩ 非现行有效须填失效/修订日期",IF(AND(ISNUMBER(J151),ISNUMBER(H151),J151&lt;=H151),"⑩ 失效日期须晚于施行日期",IF(K151="","⑪ 缺主题标签(主)",IF(AND(L151&lt;&gt;"",L151=K151),"⑫ 次标签不得与主标签相同",IF(AND(ISERROR(SEARCH("条",M151)),ISERROR(SEARCH("段",M151)),ISERROR(SEARCH("项",M151))),"⑬ 条文定位须到条/款/项或段",IF(OR(N151="",O151="",P151="",Q151=""),"⑭-⑰ 五要素未填全",IF(LEN(Q151)&gt;120,"⑰ 行为模式内容超120字,请再概括",IF(S151="","⑲ 缺原文摘录",IF(LEN(S151)&gt;200,"⑲ 原文摘录超200字,说明条文选得太大",IF(AND(E151="国家",U151=""),"㉑ 国家层须填央地权限配置",IF(AND(E151="国家",V151&lt;&gt;""),"㉒ 国家层不填地方自主权类型",IF(AND(E151&lt;&gt;"国家",V151=""),"㉒ 地方层须填地方自主权类型",IF(AND(E151&lt;&gt;"国家",U151&lt;&gt;""),"㉑ 地方层不填央地权限配置",IF(W151="","㉓ 缺核实来源",IF(X151="","㉔ 缺录入人",IF(Y151="","㉕ 缺版本号","✔ 通过基础校验"))))))))))))))))))))))),"⚠ 自检公式受损(勿用剪切移动单元格),请告知老师修复")</f>
        <v/>
      </c>
    </row>
    <row r="152" customFormat="false" ht="30" hidden="false" customHeight="true" outlineLevel="0" collapsed="false">
      <c r="A152" s="36" t="str">
        <f aca="false">IF($D$4="","",IF(COUNTA($B152:$W152)+COUNTA($Y152:$AA152)=0,"",$D$4&amp;"-"&amp;TEXT(ROW()-7,"000")))</f>
        <v/>
      </c>
      <c r="B152" s="37"/>
      <c r="C152" s="37"/>
      <c r="D152" s="37"/>
      <c r="E152" s="37"/>
      <c r="F152" s="37"/>
      <c r="G152" s="38"/>
      <c r="H152" s="38"/>
      <c r="I152" s="37"/>
      <c r="J152" s="38"/>
      <c r="K152" s="37"/>
      <c r="L152" s="37"/>
      <c r="M152" s="37"/>
      <c r="N152" s="37"/>
      <c r="O152" s="37"/>
      <c r="P152" s="37"/>
      <c r="Q152" s="37"/>
      <c r="R152" s="37"/>
      <c r="S152" s="37"/>
      <c r="T152" s="37"/>
      <c r="U152" s="37"/>
      <c r="V152" s="37"/>
      <c r="W152" s="37"/>
      <c r="X152" s="36" t="str">
        <f aca="false">IF($A152="","",TRIM($B$4&amp;" "&amp;$D$4))</f>
        <v/>
      </c>
      <c r="Y152" s="37"/>
      <c r="Z152" s="38"/>
      <c r="AA152" s="37"/>
      <c r="AB152" s="39" t="str">
        <f aca="false">IFERROR(IF(COUNTA($B152:$W152)+COUNTA($Y152:$AA152)=0,"",IF(A152="","① 条目ID未生成(先在顶栏填学号与编号)",IF(COUNTIF($A$8:$A$207,A152)&gt;1,"① 条目ID重复",IF(B152="","② 缺文件名称",IF(D152="","④ 缺位阶",IF(E152="","⑤ 缺制定区域",IF(NOT(ISNUMBER(H152)),"⑧ 施行日期须为日期格式 YYYY-MM-DD",IF(AND(I152&lt;&gt;"现行有效",I152&lt;&gt;"",J152=""),"⑩ 非现行有效须填失效/修订日期",IF(AND(ISNUMBER(J152),ISNUMBER(H152),J152&lt;=H152),"⑩ 失效日期须晚于施行日期",IF(K152="","⑪ 缺主题标签(主)",IF(AND(L152&lt;&gt;"",L152=K152),"⑫ 次标签不得与主标签相同",IF(AND(ISERROR(SEARCH("条",M152)),ISERROR(SEARCH("段",M152)),ISERROR(SEARCH("项",M152))),"⑬ 条文定位须到条/款/项或段",IF(OR(N152="",O152="",P152="",Q152=""),"⑭-⑰ 五要素未填全",IF(LEN(Q152)&gt;120,"⑰ 行为模式内容超120字,请再概括",IF(S152="","⑲ 缺原文摘录",IF(LEN(S152)&gt;200,"⑲ 原文摘录超200字,说明条文选得太大",IF(AND(E152="国家",U152=""),"㉑ 国家层须填央地权限配置",IF(AND(E152="国家",V152&lt;&gt;""),"㉒ 国家层不填地方自主权类型",IF(AND(E152&lt;&gt;"国家",V152=""),"㉒ 地方层须填地方自主权类型",IF(AND(E152&lt;&gt;"国家",U152&lt;&gt;""),"㉑ 地方层不填央地权限配置",IF(W152="","㉓ 缺核实来源",IF(X152="","㉔ 缺录入人",IF(Y152="","㉕ 缺版本号","✔ 通过基础校验"))))))))))))))))))))))),"⚠ 自检公式受损(勿用剪切移动单元格),请告知老师修复")</f>
        <v/>
      </c>
    </row>
    <row r="153" customFormat="false" ht="30" hidden="false" customHeight="true" outlineLevel="0" collapsed="false">
      <c r="A153" s="36" t="str">
        <f aca="false">IF($D$4="","",IF(COUNTA($B153:$W153)+COUNTA($Y153:$AA153)=0,"",$D$4&amp;"-"&amp;TEXT(ROW()-7,"000")))</f>
        <v/>
      </c>
      <c r="B153" s="37"/>
      <c r="C153" s="37"/>
      <c r="D153" s="37"/>
      <c r="E153" s="37"/>
      <c r="F153" s="37"/>
      <c r="G153" s="38"/>
      <c r="H153" s="38"/>
      <c r="I153" s="37"/>
      <c r="J153" s="38"/>
      <c r="K153" s="37"/>
      <c r="L153" s="37"/>
      <c r="M153" s="37"/>
      <c r="N153" s="37"/>
      <c r="O153" s="37"/>
      <c r="P153" s="37"/>
      <c r="Q153" s="37"/>
      <c r="R153" s="37"/>
      <c r="S153" s="37"/>
      <c r="T153" s="37"/>
      <c r="U153" s="37"/>
      <c r="V153" s="37"/>
      <c r="W153" s="37"/>
      <c r="X153" s="36" t="str">
        <f aca="false">IF($A153="","",TRIM($B$4&amp;" "&amp;$D$4))</f>
        <v/>
      </c>
      <c r="Y153" s="37"/>
      <c r="Z153" s="38"/>
      <c r="AA153" s="37"/>
      <c r="AB153" s="39" t="str">
        <f aca="false">IFERROR(IF(COUNTA($B153:$W153)+COUNTA($Y153:$AA153)=0,"",IF(A153="","① 条目ID未生成(先在顶栏填学号与编号)",IF(COUNTIF($A$8:$A$207,A153)&gt;1,"① 条目ID重复",IF(B153="","② 缺文件名称",IF(D153="","④ 缺位阶",IF(E153="","⑤ 缺制定区域",IF(NOT(ISNUMBER(H153)),"⑧ 施行日期须为日期格式 YYYY-MM-DD",IF(AND(I153&lt;&gt;"现行有效",I153&lt;&gt;"",J153=""),"⑩ 非现行有效须填失效/修订日期",IF(AND(ISNUMBER(J153),ISNUMBER(H153),J153&lt;=H153),"⑩ 失效日期须晚于施行日期",IF(K153="","⑪ 缺主题标签(主)",IF(AND(L153&lt;&gt;"",L153=K153),"⑫ 次标签不得与主标签相同",IF(AND(ISERROR(SEARCH("条",M153)),ISERROR(SEARCH("段",M153)),ISERROR(SEARCH("项",M153))),"⑬ 条文定位须到条/款/项或段",IF(OR(N153="",O153="",P153="",Q153=""),"⑭-⑰ 五要素未填全",IF(LEN(Q153)&gt;120,"⑰ 行为模式内容超120字,请再概括",IF(S153="","⑲ 缺原文摘录",IF(LEN(S153)&gt;200,"⑲ 原文摘录超200字,说明条文选得太大",IF(AND(E153="国家",U153=""),"㉑ 国家层须填央地权限配置",IF(AND(E153="国家",V153&lt;&gt;""),"㉒ 国家层不填地方自主权类型",IF(AND(E153&lt;&gt;"国家",V153=""),"㉒ 地方层须填地方自主权类型",IF(AND(E153&lt;&gt;"国家",U153&lt;&gt;""),"㉑ 地方层不填央地权限配置",IF(W153="","㉓ 缺核实来源",IF(X153="","㉔ 缺录入人",IF(Y153="","㉕ 缺版本号","✔ 通过基础校验"))))))))))))))))))))))),"⚠ 自检公式受损(勿用剪切移动单元格),请告知老师修复")</f>
        <v/>
      </c>
    </row>
    <row r="154" customFormat="false" ht="30" hidden="false" customHeight="true" outlineLevel="0" collapsed="false">
      <c r="A154" s="36" t="str">
        <f aca="false">IF($D$4="","",IF(COUNTA($B154:$W154)+COUNTA($Y154:$AA154)=0,"",$D$4&amp;"-"&amp;TEXT(ROW()-7,"000")))</f>
        <v/>
      </c>
      <c r="B154" s="37"/>
      <c r="C154" s="37"/>
      <c r="D154" s="37"/>
      <c r="E154" s="37"/>
      <c r="F154" s="37"/>
      <c r="G154" s="38"/>
      <c r="H154" s="38"/>
      <c r="I154" s="37"/>
      <c r="J154" s="38"/>
      <c r="K154" s="37"/>
      <c r="L154" s="37"/>
      <c r="M154" s="37"/>
      <c r="N154" s="37"/>
      <c r="O154" s="37"/>
      <c r="P154" s="37"/>
      <c r="Q154" s="37"/>
      <c r="R154" s="37"/>
      <c r="S154" s="37"/>
      <c r="T154" s="37"/>
      <c r="U154" s="37"/>
      <c r="V154" s="37"/>
      <c r="W154" s="37"/>
      <c r="X154" s="36" t="str">
        <f aca="false">IF($A154="","",TRIM($B$4&amp;" "&amp;$D$4))</f>
        <v/>
      </c>
      <c r="Y154" s="37"/>
      <c r="Z154" s="38"/>
      <c r="AA154" s="37"/>
      <c r="AB154" s="39" t="str">
        <f aca="false">IFERROR(IF(COUNTA($B154:$W154)+COUNTA($Y154:$AA154)=0,"",IF(A154="","① 条目ID未生成(先在顶栏填学号与编号)",IF(COUNTIF($A$8:$A$207,A154)&gt;1,"① 条目ID重复",IF(B154="","② 缺文件名称",IF(D154="","④ 缺位阶",IF(E154="","⑤ 缺制定区域",IF(NOT(ISNUMBER(H154)),"⑧ 施行日期须为日期格式 YYYY-MM-DD",IF(AND(I154&lt;&gt;"现行有效",I154&lt;&gt;"",J154=""),"⑩ 非现行有效须填失效/修订日期",IF(AND(ISNUMBER(J154),ISNUMBER(H154),J154&lt;=H154),"⑩ 失效日期须晚于施行日期",IF(K154="","⑪ 缺主题标签(主)",IF(AND(L154&lt;&gt;"",L154=K154),"⑫ 次标签不得与主标签相同",IF(AND(ISERROR(SEARCH("条",M154)),ISERROR(SEARCH("段",M154)),ISERROR(SEARCH("项",M154))),"⑬ 条文定位须到条/款/项或段",IF(OR(N154="",O154="",P154="",Q154=""),"⑭-⑰ 五要素未填全",IF(LEN(Q154)&gt;120,"⑰ 行为模式内容超120字,请再概括",IF(S154="","⑲ 缺原文摘录",IF(LEN(S154)&gt;200,"⑲ 原文摘录超200字,说明条文选得太大",IF(AND(E154="国家",U154=""),"㉑ 国家层须填央地权限配置",IF(AND(E154="国家",V154&lt;&gt;""),"㉒ 国家层不填地方自主权类型",IF(AND(E154&lt;&gt;"国家",V154=""),"㉒ 地方层须填地方自主权类型",IF(AND(E154&lt;&gt;"国家",U154&lt;&gt;""),"㉑ 地方层不填央地权限配置",IF(W154="","㉓ 缺核实来源",IF(X154="","㉔ 缺录入人",IF(Y154="","㉕ 缺版本号","✔ 通过基础校验"))))))))))))))))))))))),"⚠ 自检公式受损(勿用剪切移动单元格),请告知老师修复")</f>
        <v/>
      </c>
    </row>
    <row r="155" customFormat="false" ht="30" hidden="false" customHeight="true" outlineLevel="0" collapsed="false">
      <c r="A155" s="36" t="str">
        <f aca="false">IF($D$4="","",IF(COUNTA($B155:$W155)+COUNTA($Y155:$AA155)=0,"",$D$4&amp;"-"&amp;TEXT(ROW()-7,"000")))</f>
        <v/>
      </c>
      <c r="B155" s="37"/>
      <c r="C155" s="37"/>
      <c r="D155" s="37"/>
      <c r="E155" s="37"/>
      <c r="F155" s="37"/>
      <c r="G155" s="38"/>
      <c r="H155" s="38"/>
      <c r="I155" s="37"/>
      <c r="J155" s="38"/>
      <c r="K155" s="37"/>
      <c r="L155" s="37"/>
      <c r="M155" s="37"/>
      <c r="N155" s="37"/>
      <c r="O155" s="37"/>
      <c r="P155" s="37"/>
      <c r="Q155" s="37"/>
      <c r="R155" s="37"/>
      <c r="S155" s="37"/>
      <c r="T155" s="37"/>
      <c r="U155" s="37"/>
      <c r="V155" s="37"/>
      <c r="W155" s="37"/>
      <c r="X155" s="36" t="str">
        <f aca="false">IF($A155="","",TRIM($B$4&amp;" "&amp;$D$4))</f>
        <v/>
      </c>
      <c r="Y155" s="37"/>
      <c r="Z155" s="38"/>
      <c r="AA155" s="37"/>
      <c r="AB155" s="39" t="str">
        <f aca="false">IFERROR(IF(COUNTA($B155:$W155)+COUNTA($Y155:$AA155)=0,"",IF(A155="","① 条目ID未生成(先在顶栏填学号与编号)",IF(COUNTIF($A$8:$A$207,A155)&gt;1,"① 条目ID重复",IF(B155="","② 缺文件名称",IF(D155="","④ 缺位阶",IF(E155="","⑤ 缺制定区域",IF(NOT(ISNUMBER(H155)),"⑧ 施行日期须为日期格式 YYYY-MM-DD",IF(AND(I155&lt;&gt;"现行有效",I155&lt;&gt;"",J155=""),"⑩ 非现行有效须填失效/修订日期",IF(AND(ISNUMBER(J155),ISNUMBER(H155),J155&lt;=H155),"⑩ 失效日期须晚于施行日期",IF(K155="","⑪ 缺主题标签(主)",IF(AND(L155&lt;&gt;"",L155=K155),"⑫ 次标签不得与主标签相同",IF(AND(ISERROR(SEARCH("条",M155)),ISERROR(SEARCH("段",M155)),ISERROR(SEARCH("项",M155))),"⑬ 条文定位须到条/款/项或段",IF(OR(N155="",O155="",P155="",Q155=""),"⑭-⑰ 五要素未填全",IF(LEN(Q155)&gt;120,"⑰ 行为模式内容超120字,请再概括",IF(S155="","⑲ 缺原文摘录",IF(LEN(S155)&gt;200,"⑲ 原文摘录超200字,说明条文选得太大",IF(AND(E155="国家",U155=""),"㉑ 国家层须填央地权限配置",IF(AND(E155="国家",V155&lt;&gt;""),"㉒ 国家层不填地方自主权类型",IF(AND(E155&lt;&gt;"国家",V155=""),"㉒ 地方层须填地方自主权类型",IF(AND(E155&lt;&gt;"国家",U155&lt;&gt;""),"㉑ 地方层不填央地权限配置",IF(W155="","㉓ 缺核实来源",IF(X155="","㉔ 缺录入人",IF(Y155="","㉕ 缺版本号","✔ 通过基础校验"))))))))))))))))))))))),"⚠ 自检公式受损(勿用剪切移动单元格),请告知老师修复")</f>
        <v/>
      </c>
    </row>
    <row r="156" customFormat="false" ht="30" hidden="false" customHeight="true" outlineLevel="0" collapsed="false">
      <c r="A156" s="36" t="str">
        <f aca="false">IF($D$4="","",IF(COUNTA($B156:$W156)+COUNTA($Y156:$AA156)=0,"",$D$4&amp;"-"&amp;TEXT(ROW()-7,"000")))</f>
        <v/>
      </c>
      <c r="B156" s="37"/>
      <c r="C156" s="37"/>
      <c r="D156" s="37"/>
      <c r="E156" s="37"/>
      <c r="F156" s="37"/>
      <c r="G156" s="38"/>
      <c r="H156" s="38"/>
      <c r="I156" s="37"/>
      <c r="J156" s="38"/>
      <c r="K156" s="37"/>
      <c r="L156" s="37"/>
      <c r="M156" s="37"/>
      <c r="N156" s="37"/>
      <c r="O156" s="37"/>
      <c r="P156" s="37"/>
      <c r="Q156" s="37"/>
      <c r="R156" s="37"/>
      <c r="S156" s="37"/>
      <c r="T156" s="37"/>
      <c r="U156" s="37"/>
      <c r="V156" s="37"/>
      <c r="W156" s="37"/>
      <c r="X156" s="36" t="str">
        <f aca="false">IF($A156="","",TRIM($B$4&amp;" "&amp;$D$4))</f>
        <v/>
      </c>
      <c r="Y156" s="37"/>
      <c r="Z156" s="38"/>
      <c r="AA156" s="37"/>
      <c r="AB156" s="39" t="str">
        <f aca="false">IFERROR(IF(COUNTA($B156:$W156)+COUNTA($Y156:$AA156)=0,"",IF(A156="","① 条目ID未生成(先在顶栏填学号与编号)",IF(COUNTIF($A$8:$A$207,A156)&gt;1,"① 条目ID重复",IF(B156="","② 缺文件名称",IF(D156="","④ 缺位阶",IF(E156="","⑤ 缺制定区域",IF(NOT(ISNUMBER(H156)),"⑧ 施行日期须为日期格式 YYYY-MM-DD",IF(AND(I156&lt;&gt;"现行有效",I156&lt;&gt;"",J156=""),"⑩ 非现行有效须填失效/修订日期",IF(AND(ISNUMBER(J156),ISNUMBER(H156),J156&lt;=H156),"⑩ 失效日期须晚于施行日期",IF(K156="","⑪ 缺主题标签(主)",IF(AND(L156&lt;&gt;"",L156=K156),"⑫ 次标签不得与主标签相同",IF(AND(ISERROR(SEARCH("条",M156)),ISERROR(SEARCH("段",M156)),ISERROR(SEARCH("项",M156))),"⑬ 条文定位须到条/款/项或段",IF(OR(N156="",O156="",P156="",Q156=""),"⑭-⑰ 五要素未填全",IF(LEN(Q156)&gt;120,"⑰ 行为模式内容超120字,请再概括",IF(S156="","⑲ 缺原文摘录",IF(LEN(S156)&gt;200,"⑲ 原文摘录超200字,说明条文选得太大",IF(AND(E156="国家",U156=""),"㉑ 国家层须填央地权限配置",IF(AND(E156="国家",V156&lt;&gt;""),"㉒ 国家层不填地方自主权类型",IF(AND(E156&lt;&gt;"国家",V156=""),"㉒ 地方层须填地方自主权类型",IF(AND(E156&lt;&gt;"国家",U156&lt;&gt;""),"㉑ 地方层不填央地权限配置",IF(W156="","㉓ 缺核实来源",IF(X156="","㉔ 缺录入人",IF(Y156="","㉕ 缺版本号","✔ 通过基础校验"))))))))))))))))))))))),"⚠ 自检公式受损(勿用剪切移动单元格),请告知老师修复")</f>
        <v/>
      </c>
    </row>
    <row r="157" customFormat="false" ht="30" hidden="false" customHeight="true" outlineLevel="0" collapsed="false">
      <c r="A157" s="36" t="str">
        <f aca="false">IF($D$4="","",IF(COUNTA($B157:$W157)+COUNTA($Y157:$AA157)=0,"",$D$4&amp;"-"&amp;TEXT(ROW()-7,"000")))</f>
        <v/>
      </c>
      <c r="B157" s="37"/>
      <c r="C157" s="37"/>
      <c r="D157" s="37"/>
      <c r="E157" s="37"/>
      <c r="F157" s="37"/>
      <c r="G157" s="38"/>
      <c r="H157" s="38"/>
      <c r="I157" s="37"/>
      <c r="J157" s="38"/>
      <c r="K157" s="37"/>
      <c r="L157" s="37"/>
      <c r="M157" s="37"/>
      <c r="N157" s="37"/>
      <c r="O157" s="37"/>
      <c r="P157" s="37"/>
      <c r="Q157" s="37"/>
      <c r="R157" s="37"/>
      <c r="S157" s="37"/>
      <c r="T157" s="37"/>
      <c r="U157" s="37"/>
      <c r="V157" s="37"/>
      <c r="W157" s="37"/>
      <c r="X157" s="36" t="str">
        <f aca="false">IF($A157="","",TRIM($B$4&amp;" "&amp;$D$4))</f>
        <v/>
      </c>
      <c r="Y157" s="37"/>
      <c r="Z157" s="38"/>
      <c r="AA157" s="37"/>
      <c r="AB157" s="39" t="str">
        <f aca="false">IFERROR(IF(COUNTA($B157:$W157)+COUNTA($Y157:$AA157)=0,"",IF(A157="","① 条目ID未生成(先在顶栏填学号与编号)",IF(COUNTIF($A$8:$A$207,A157)&gt;1,"① 条目ID重复",IF(B157="","② 缺文件名称",IF(D157="","④ 缺位阶",IF(E157="","⑤ 缺制定区域",IF(NOT(ISNUMBER(H157)),"⑧ 施行日期须为日期格式 YYYY-MM-DD",IF(AND(I157&lt;&gt;"现行有效",I157&lt;&gt;"",J157=""),"⑩ 非现行有效须填失效/修订日期",IF(AND(ISNUMBER(J157),ISNUMBER(H157),J157&lt;=H157),"⑩ 失效日期须晚于施行日期",IF(K157="","⑪ 缺主题标签(主)",IF(AND(L157&lt;&gt;"",L157=K157),"⑫ 次标签不得与主标签相同",IF(AND(ISERROR(SEARCH("条",M157)),ISERROR(SEARCH("段",M157)),ISERROR(SEARCH("项",M157))),"⑬ 条文定位须到条/款/项或段",IF(OR(N157="",O157="",P157="",Q157=""),"⑭-⑰ 五要素未填全",IF(LEN(Q157)&gt;120,"⑰ 行为模式内容超120字,请再概括",IF(S157="","⑲ 缺原文摘录",IF(LEN(S157)&gt;200,"⑲ 原文摘录超200字,说明条文选得太大",IF(AND(E157="国家",U157=""),"㉑ 国家层须填央地权限配置",IF(AND(E157="国家",V157&lt;&gt;""),"㉒ 国家层不填地方自主权类型",IF(AND(E157&lt;&gt;"国家",V157=""),"㉒ 地方层须填地方自主权类型",IF(AND(E157&lt;&gt;"国家",U157&lt;&gt;""),"㉑ 地方层不填央地权限配置",IF(W157="","㉓ 缺核实来源",IF(X157="","㉔ 缺录入人",IF(Y157="","㉕ 缺版本号","✔ 通过基础校验"))))))))))))))))))))))),"⚠ 自检公式受损(勿用剪切移动单元格),请告知老师修复")</f>
        <v/>
      </c>
    </row>
    <row r="158" customFormat="false" ht="30" hidden="false" customHeight="true" outlineLevel="0" collapsed="false">
      <c r="A158" s="36" t="str">
        <f aca="false">IF($D$4="","",IF(COUNTA($B158:$W158)+COUNTA($Y158:$AA158)=0,"",$D$4&amp;"-"&amp;TEXT(ROW()-7,"000")))</f>
        <v/>
      </c>
      <c r="B158" s="37"/>
      <c r="C158" s="37"/>
      <c r="D158" s="37"/>
      <c r="E158" s="37"/>
      <c r="F158" s="37"/>
      <c r="G158" s="38"/>
      <c r="H158" s="38"/>
      <c r="I158" s="37"/>
      <c r="J158" s="38"/>
      <c r="K158" s="37"/>
      <c r="L158" s="37"/>
      <c r="M158" s="37"/>
      <c r="N158" s="37"/>
      <c r="O158" s="37"/>
      <c r="P158" s="37"/>
      <c r="Q158" s="37"/>
      <c r="R158" s="37"/>
      <c r="S158" s="37"/>
      <c r="T158" s="37"/>
      <c r="U158" s="37"/>
      <c r="V158" s="37"/>
      <c r="W158" s="37"/>
      <c r="X158" s="36" t="str">
        <f aca="false">IF($A158="","",TRIM($B$4&amp;" "&amp;$D$4))</f>
        <v/>
      </c>
      <c r="Y158" s="37"/>
      <c r="Z158" s="38"/>
      <c r="AA158" s="37"/>
      <c r="AB158" s="39" t="str">
        <f aca="false">IFERROR(IF(COUNTA($B158:$W158)+COUNTA($Y158:$AA158)=0,"",IF(A158="","① 条目ID未生成(先在顶栏填学号与编号)",IF(COUNTIF($A$8:$A$207,A158)&gt;1,"① 条目ID重复",IF(B158="","② 缺文件名称",IF(D158="","④ 缺位阶",IF(E158="","⑤ 缺制定区域",IF(NOT(ISNUMBER(H158)),"⑧ 施行日期须为日期格式 YYYY-MM-DD",IF(AND(I158&lt;&gt;"现行有效",I158&lt;&gt;"",J158=""),"⑩ 非现行有效须填失效/修订日期",IF(AND(ISNUMBER(J158),ISNUMBER(H158),J158&lt;=H158),"⑩ 失效日期须晚于施行日期",IF(K158="","⑪ 缺主题标签(主)",IF(AND(L158&lt;&gt;"",L158=K158),"⑫ 次标签不得与主标签相同",IF(AND(ISERROR(SEARCH("条",M158)),ISERROR(SEARCH("段",M158)),ISERROR(SEARCH("项",M158))),"⑬ 条文定位须到条/款/项或段",IF(OR(N158="",O158="",P158="",Q158=""),"⑭-⑰ 五要素未填全",IF(LEN(Q158)&gt;120,"⑰ 行为模式内容超120字,请再概括",IF(S158="","⑲ 缺原文摘录",IF(LEN(S158)&gt;200,"⑲ 原文摘录超200字,说明条文选得太大",IF(AND(E158="国家",U158=""),"㉑ 国家层须填央地权限配置",IF(AND(E158="国家",V158&lt;&gt;""),"㉒ 国家层不填地方自主权类型",IF(AND(E158&lt;&gt;"国家",V158=""),"㉒ 地方层须填地方自主权类型",IF(AND(E158&lt;&gt;"国家",U158&lt;&gt;""),"㉑ 地方层不填央地权限配置",IF(W158="","㉓ 缺核实来源",IF(X158="","㉔ 缺录入人",IF(Y158="","㉕ 缺版本号","✔ 通过基础校验"))))))))))))))))))))))),"⚠ 自检公式受损(勿用剪切移动单元格),请告知老师修复")</f>
        <v/>
      </c>
    </row>
    <row r="159" customFormat="false" ht="30" hidden="false" customHeight="true" outlineLevel="0" collapsed="false">
      <c r="A159" s="36" t="str">
        <f aca="false">IF($D$4="","",IF(COUNTA($B159:$W159)+COUNTA($Y159:$AA159)=0,"",$D$4&amp;"-"&amp;TEXT(ROW()-7,"000")))</f>
        <v/>
      </c>
      <c r="B159" s="37"/>
      <c r="C159" s="37"/>
      <c r="D159" s="37"/>
      <c r="E159" s="37"/>
      <c r="F159" s="37"/>
      <c r="G159" s="38"/>
      <c r="H159" s="38"/>
      <c r="I159" s="37"/>
      <c r="J159" s="38"/>
      <c r="K159" s="37"/>
      <c r="L159" s="37"/>
      <c r="M159" s="37"/>
      <c r="N159" s="37"/>
      <c r="O159" s="37"/>
      <c r="P159" s="37"/>
      <c r="Q159" s="37"/>
      <c r="R159" s="37"/>
      <c r="S159" s="37"/>
      <c r="T159" s="37"/>
      <c r="U159" s="37"/>
      <c r="V159" s="37"/>
      <c r="W159" s="37"/>
      <c r="X159" s="36" t="str">
        <f aca="false">IF($A159="","",TRIM($B$4&amp;" "&amp;$D$4))</f>
        <v/>
      </c>
      <c r="Y159" s="37"/>
      <c r="Z159" s="38"/>
      <c r="AA159" s="37"/>
      <c r="AB159" s="39" t="str">
        <f aca="false">IFERROR(IF(COUNTA($B159:$W159)+COUNTA($Y159:$AA159)=0,"",IF(A159="","① 条目ID未生成(先在顶栏填学号与编号)",IF(COUNTIF($A$8:$A$207,A159)&gt;1,"① 条目ID重复",IF(B159="","② 缺文件名称",IF(D159="","④ 缺位阶",IF(E159="","⑤ 缺制定区域",IF(NOT(ISNUMBER(H159)),"⑧ 施行日期须为日期格式 YYYY-MM-DD",IF(AND(I159&lt;&gt;"现行有效",I159&lt;&gt;"",J159=""),"⑩ 非现行有效须填失效/修订日期",IF(AND(ISNUMBER(J159),ISNUMBER(H159),J159&lt;=H159),"⑩ 失效日期须晚于施行日期",IF(K159="","⑪ 缺主题标签(主)",IF(AND(L159&lt;&gt;"",L159=K159),"⑫ 次标签不得与主标签相同",IF(AND(ISERROR(SEARCH("条",M159)),ISERROR(SEARCH("段",M159)),ISERROR(SEARCH("项",M159))),"⑬ 条文定位须到条/款/项或段",IF(OR(N159="",O159="",P159="",Q159=""),"⑭-⑰ 五要素未填全",IF(LEN(Q159)&gt;120,"⑰ 行为模式内容超120字,请再概括",IF(S159="","⑲ 缺原文摘录",IF(LEN(S159)&gt;200,"⑲ 原文摘录超200字,说明条文选得太大",IF(AND(E159="国家",U159=""),"㉑ 国家层须填央地权限配置",IF(AND(E159="国家",V159&lt;&gt;""),"㉒ 国家层不填地方自主权类型",IF(AND(E159&lt;&gt;"国家",V159=""),"㉒ 地方层须填地方自主权类型",IF(AND(E159&lt;&gt;"国家",U159&lt;&gt;""),"㉑ 地方层不填央地权限配置",IF(W159="","㉓ 缺核实来源",IF(X159="","㉔ 缺录入人",IF(Y159="","㉕ 缺版本号","✔ 通过基础校验"))))))))))))))))))))))),"⚠ 自检公式受损(勿用剪切移动单元格),请告知老师修复")</f>
        <v/>
      </c>
    </row>
    <row r="160" customFormat="false" ht="30" hidden="false" customHeight="true" outlineLevel="0" collapsed="false">
      <c r="A160" s="36" t="str">
        <f aca="false">IF($D$4="","",IF(COUNTA($B160:$W160)+COUNTA($Y160:$AA160)=0,"",$D$4&amp;"-"&amp;TEXT(ROW()-7,"000")))</f>
        <v/>
      </c>
      <c r="B160" s="37"/>
      <c r="C160" s="37"/>
      <c r="D160" s="37"/>
      <c r="E160" s="37"/>
      <c r="F160" s="37"/>
      <c r="G160" s="38"/>
      <c r="H160" s="38"/>
      <c r="I160" s="37"/>
      <c r="J160" s="38"/>
      <c r="K160" s="37"/>
      <c r="L160" s="37"/>
      <c r="M160" s="37"/>
      <c r="N160" s="37"/>
      <c r="O160" s="37"/>
      <c r="P160" s="37"/>
      <c r="Q160" s="37"/>
      <c r="R160" s="37"/>
      <c r="S160" s="37"/>
      <c r="T160" s="37"/>
      <c r="U160" s="37"/>
      <c r="V160" s="37"/>
      <c r="W160" s="37"/>
      <c r="X160" s="36" t="str">
        <f aca="false">IF($A160="","",TRIM($B$4&amp;" "&amp;$D$4))</f>
        <v/>
      </c>
      <c r="Y160" s="37"/>
      <c r="Z160" s="38"/>
      <c r="AA160" s="37"/>
      <c r="AB160" s="39" t="str">
        <f aca="false">IFERROR(IF(COUNTA($B160:$W160)+COUNTA($Y160:$AA160)=0,"",IF(A160="","① 条目ID未生成(先在顶栏填学号与编号)",IF(COUNTIF($A$8:$A$207,A160)&gt;1,"① 条目ID重复",IF(B160="","② 缺文件名称",IF(D160="","④ 缺位阶",IF(E160="","⑤ 缺制定区域",IF(NOT(ISNUMBER(H160)),"⑧ 施行日期须为日期格式 YYYY-MM-DD",IF(AND(I160&lt;&gt;"现行有效",I160&lt;&gt;"",J160=""),"⑩ 非现行有效须填失效/修订日期",IF(AND(ISNUMBER(J160),ISNUMBER(H160),J160&lt;=H160),"⑩ 失效日期须晚于施行日期",IF(K160="","⑪ 缺主题标签(主)",IF(AND(L160&lt;&gt;"",L160=K160),"⑫ 次标签不得与主标签相同",IF(AND(ISERROR(SEARCH("条",M160)),ISERROR(SEARCH("段",M160)),ISERROR(SEARCH("项",M160))),"⑬ 条文定位须到条/款/项或段",IF(OR(N160="",O160="",P160="",Q160=""),"⑭-⑰ 五要素未填全",IF(LEN(Q160)&gt;120,"⑰ 行为模式内容超120字,请再概括",IF(S160="","⑲ 缺原文摘录",IF(LEN(S160)&gt;200,"⑲ 原文摘录超200字,说明条文选得太大",IF(AND(E160="国家",U160=""),"㉑ 国家层须填央地权限配置",IF(AND(E160="国家",V160&lt;&gt;""),"㉒ 国家层不填地方自主权类型",IF(AND(E160&lt;&gt;"国家",V160=""),"㉒ 地方层须填地方自主权类型",IF(AND(E160&lt;&gt;"国家",U160&lt;&gt;""),"㉑ 地方层不填央地权限配置",IF(W160="","㉓ 缺核实来源",IF(X160="","㉔ 缺录入人",IF(Y160="","㉕ 缺版本号","✔ 通过基础校验"))))))))))))))))))))))),"⚠ 自检公式受损(勿用剪切移动单元格),请告知老师修复")</f>
        <v/>
      </c>
    </row>
    <row r="161" customFormat="false" ht="30" hidden="false" customHeight="true" outlineLevel="0" collapsed="false">
      <c r="A161" s="36" t="str">
        <f aca="false">IF($D$4="","",IF(COUNTA($B161:$W161)+COUNTA($Y161:$AA161)=0,"",$D$4&amp;"-"&amp;TEXT(ROW()-7,"000")))</f>
        <v/>
      </c>
      <c r="B161" s="37"/>
      <c r="C161" s="37"/>
      <c r="D161" s="37"/>
      <c r="E161" s="37"/>
      <c r="F161" s="37"/>
      <c r="G161" s="38"/>
      <c r="H161" s="38"/>
      <c r="I161" s="37"/>
      <c r="J161" s="38"/>
      <c r="K161" s="37"/>
      <c r="L161" s="37"/>
      <c r="M161" s="37"/>
      <c r="N161" s="37"/>
      <c r="O161" s="37"/>
      <c r="P161" s="37"/>
      <c r="Q161" s="37"/>
      <c r="R161" s="37"/>
      <c r="S161" s="37"/>
      <c r="T161" s="37"/>
      <c r="U161" s="37"/>
      <c r="V161" s="37"/>
      <c r="W161" s="37"/>
      <c r="X161" s="36" t="str">
        <f aca="false">IF($A161="","",TRIM($B$4&amp;" "&amp;$D$4))</f>
        <v/>
      </c>
      <c r="Y161" s="37"/>
      <c r="Z161" s="38"/>
      <c r="AA161" s="37"/>
      <c r="AB161" s="39" t="str">
        <f aca="false">IFERROR(IF(COUNTA($B161:$W161)+COUNTA($Y161:$AA161)=0,"",IF(A161="","① 条目ID未生成(先在顶栏填学号与编号)",IF(COUNTIF($A$8:$A$207,A161)&gt;1,"① 条目ID重复",IF(B161="","② 缺文件名称",IF(D161="","④ 缺位阶",IF(E161="","⑤ 缺制定区域",IF(NOT(ISNUMBER(H161)),"⑧ 施行日期须为日期格式 YYYY-MM-DD",IF(AND(I161&lt;&gt;"现行有效",I161&lt;&gt;"",J161=""),"⑩ 非现行有效须填失效/修订日期",IF(AND(ISNUMBER(J161),ISNUMBER(H161),J161&lt;=H161),"⑩ 失效日期须晚于施行日期",IF(K161="","⑪ 缺主题标签(主)",IF(AND(L161&lt;&gt;"",L161=K161),"⑫ 次标签不得与主标签相同",IF(AND(ISERROR(SEARCH("条",M161)),ISERROR(SEARCH("段",M161)),ISERROR(SEARCH("项",M161))),"⑬ 条文定位须到条/款/项或段",IF(OR(N161="",O161="",P161="",Q161=""),"⑭-⑰ 五要素未填全",IF(LEN(Q161)&gt;120,"⑰ 行为模式内容超120字,请再概括",IF(S161="","⑲ 缺原文摘录",IF(LEN(S161)&gt;200,"⑲ 原文摘录超200字,说明条文选得太大",IF(AND(E161="国家",U161=""),"㉑ 国家层须填央地权限配置",IF(AND(E161="国家",V161&lt;&gt;""),"㉒ 国家层不填地方自主权类型",IF(AND(E161&lt;&gt;"国家",V161=""),"㉒ 地方层须填地方自主权类型",IF(AND(E161&lt;&gt;"国家",U161&lt;&gt;""),"㉑ 地方层不填央地权限配置",IF(W161="","㉓ 缺核实来源",IF(X161="","㉔ 缺录入人",IF(Y161="","㉕ 缺版本号","✔ 通过基础校验"))))))))))))))))))))))),"⚠ 自检公式受损(勿用剪切移动单元格),请告知老师修复")</f>
        <v/>
      </c>
    </row>
    <row r="162" customFormat="false" ht="30" hidden="false" customHeight="true" outlineLevel="0" collapsed="false">
      <c r="A162" s="36" t="str">
        <f aca="false">IF($D$4="","",IF(COUNTA($B162:$W162)+COUNTA($Y162:$AA162)=0,"",$D$4&amp;"-"&amp;TEXT(ROW()-7,"000")))</f>
        <v/>
      </c>
      <c r="B162" s="37"/>
      <c r="C162" s="37"/>
      <c r="D162" s="37"/>
      <c r="E162" s="37"/>
      <c r="F162" s="37"/>
      <c r="G162" s="38"/>
      <c r="H162" s="38"/>
      <c r="I162" s="37"/>
      <c r="J162" s="38"/>
      <c r="K162" s="37"/>
      <c r="L162" s="37"/>
      <c r="M162" s="37"/>
      <c r="N162" s="37"/>
      <c r="O162" s="37"/>
      <c r="P162" s="37"/>
      <c r="Q162" s="37"/>
      <c r="R162" s="37"/>
      <c r="S162" s="37"/>
      <c r="T162" s="37"/>
      <c r="U162" s="37"/>
      <c r="V162" s="37"/>
      <c r="W162" s="37"/>
      <c r="X162" s="36" t="str">
        <f aca="false">IF($A162="","",TRIM($B$4&amp;" "&amp;$D$4))</f>
        <v/>
      </c>
      <c r="Y162" s="37"/>
      <c r="Z162" s="38"/>
      <c r="AA162" s="37"/>
      <c r="AB162" s="39" t="str">
        <f aca="false">IFERROR(IF(COUNTA($B162:$W162)+COUNTA($Y162:$AA162)=0,"",IF(A162="","① 条目ID未生成(先在顶栏填学号与编号)",IF(COUNTIF($A$8:$A$207,A162)&gt;1,"① 条目ID重复",IF(B162="","② 缺文件名称",IF(D162="","④ 缺位阶",IF(E162="","⑤ 缺制定区域",IF(NOT(ISNUMBER(H162)),"⑧ 施行日期须为日期格式 YYYY-MM-DD",IF(AND(I162&lt;&gt;"现行有效",I162&lt;&gt;"",J162=""),"⑩ 非现行有效须填失效/修订日期",IF(AND(ISNUMBER(J162),ISNUMBER(H162),J162&lt;=H162),"⑩ 失效日期须晚于施行日期",IF(K162="","⑪ 缺主题标签(主)",IF(AND(L162&lt;&gt;"",L162=K162),"⑫ 次标签不得与主标签相同",IF(AND(ISERROR(SEARCH("条",M162)),ISERROR(SEARCH("段",M162)),ISERROR(SEARCH("项",M162))),"⑬ 条文定位须到条/款/项或段",IF(OR(N162="",O162="",P162="",Q162=""),"⑭-⑰ 五要素未填全",IF(LEN(Q162)&gt;120,"⑰ 行为模式内容超120字,请再概括",IF(S162="","⑲ 缺原文摘录",IF(LEN(S162)&gt;200,"⑲ 原文摘录超200字,说明条文选得太大",IF(AND(E162="国家",U162=""),"㉑ 国家层须填央地权限配置",IF(AND(E162="国家",V162&lt;&gt;""),"㉒ 国家层不填地方自主权类型",IF(AND(E162&lt;&gt;"国家",V162=""),"㉒ 地方层须填地方自主权类型",IF(AND(E162&lt;&gt;"国家",U162&lt;&gt;""),"㉑ 地方层不填央地权限配置",IF(W162="","㉓ 缺核实来源",IF(X162="","㉔ 缺录入人",IF(Y162="","㉕ 缺版本号","✔ 通过基础校验"))))))))))))))))))))))),"⚠ 自检公式受损(勿用剪切移动单元格),请告知老师修复")</f>
        <v/>
      </c>
    </row>
    <row r="163" customFormat="false" ht="30" hidden="false" customHeight="true" outlineLevel="0" collapsed="false">
      <c r="A163" s="36" t="str">
        <f aca="false">IF($D$4="","",IF(COUNTA($B163:$W163)+COUNTA($Y163:$AA163)=0,"",$D$4&amp;"-"&amp;TEXT(ROW()-7,"000")))</f>
        <v/>
      </c>
      <c r="B163" s="37"/>
      <c r="C163" s="37"/>
      <c r="D163" s="37"/>
      <c r="E163" s="37"/>
      <c r="F163" s="37"/>
      <c r="G163" s="38"/>
      <c r="H163" s="38"/>
      <c r="I163" s="37"/>
      <c r="J163" s="38"/>
      <c r="K163" s="37"/>
      <c r="L163" s="37"/>
      <c r="M163" s="37"/>
      <c r="N163" s="37"/>
      <c r="O163" s="37"/>
      <c r="P163" s="37"/>
      <c r="Q163" s="37"/>
      <c r="R163" s="37"/>
      <c r="S163" s="37"/>
      <c r="T163" s="37"/>
      <c r="U163" s="37"/>
      <c r="V163" s="37"/>
      <c r="W163" s="37"/>
      <c r="X163" s="36" t="str">
        <f aca="false">IF($A163="","",TRIM($B$4&amp;" "&amp;$D$4))</f>
        <v/>
      </c>
      <c r="Y163" s="37"/>
      <c r="Z163" s="38"/>
      <c r="AA163" s="37"/>
      <c r="AB163" s="39" t="str">
        <f aca="false">IFERROR(IF(COUNTA($B163:$W163)+COUNTA($Y163:$AA163)=0,"",IF(A163="","① 条目ID未生成(先在顶栏填学号与编号)",IF(COUNTIF($A$8:$A$207,A163)&gt;1,"① 条目ID重复",IF(B163="","② 缺文件名称",IF(D163="","④ 缺位阶",IF(E163="","⑤ 缺制定区域",IF(NOT(ISNUMBER(H163)),"⑧ 施行日期须为日期格式 YYYY-MM-DD",IF(AND(I163&lt;&gt;"现行有效",I163&lt;&gt;"",J163=""),"⑩ 非现行有效须填失效/修订日期",IF(AND(ISNUMBER(J163),ISNUMBER(H163),J163&lt;=H163),"⑩ 失效日期须晚于施行日期",IF(K163="","⑪ 缺主题标签(主)",IF(AND(L163&lt;&gt;"",L163=K163),"⑫ 次标签不得与主标签相同",IF(AND(ISERROR(SEARCH("条",M163)),ISERROR(SEARCH("段",M163)),ISERROR(SEARCH("项",M163))),"⑬ 条文定位须到条/款/项或段",IF(OR(N163="",O163="",P163="",Q163=""),"⑭-⑰ 五要素未填全",IF(LEN(Q163)&gt;120,"⑰ 行为模式内容超120字,请再概括",IF(S163="","⑲ 缺原文摘录",IF(LEN(S163)&gt;200,"⑲ 原文摘录超200字,说明条文选得太大",IF(AND(E163="国家",U163=""),"㉑ 国家层须填央地权限配置",IF(AND(E163="国家",V163&lt;&gt;""),"㉒ 国家层不填地方自主权类型",IF(AND(E163&lt;&gt;"国家",V163=""),"㉒ 地方层须填地方自主权类型",IF(AND(E163&lt;&gt;"国家",U163&lt;&gt;""),"㉑ 地方层不填央地权限配置",IF(W163="","㉓ 缺核实来源",IF(X163="","㉔ 缺录入人",IF(Y163="","㉕ 缺版本号","✔ 通过基础校验"))))))))))))))))))))))),"⚠ 自检公式受损(勿用剪切移动单元格),请告知老师修复")</f>
        <v/>
      </c>
    </row>
    <row r="164" customFormat="false" ht="30" hidden="false" customHeight="true" outlineLevel="0" collapsed="false">
      <c r="A164" s="36" t="str">
        <f aca="false">IF($D$4="","",IF(COUNTA($B164:$W164)+COUNTA($Y164:$AA164)=0,"",$D$4&amp;"-"&amp;TEXT(ROW()-7,"000")))</f>
        <v/>
      </c>
      <c r="B164" s="37"/>
      <c r="C164" s="37"/>
      <c r="D164" s="37"/>
      <c r="E164" s="37"/>
      <c r="F164" s="37"/>
      <c r="G164" s="38"/>
      <c r="H164" s="38"/>
      <c r="I164" s="37"/>
      <c r="J164" s="38"/>
      <c r="K164" s="37"/>
      <c r="L164" s="37"/>
      <c r="M164" s="37"/>
      <c r="N164" s="37"/>
      <c r="O164" s="37"/>
      <c r="P164" s="37"/>
      <c r="Q164" s="37"/>
      <c r="R164" s="37"/>
      <c r="S164" s="37"/>
      <c r="T164" s="37"/>
      <c r="U164" s="37"/>
      <c r="V164" s="37"/>
      <c r="W164" s="37"/>
      <c r="X164" s="36" t="str">
        <f aca="false">IF($A164="","",TRIM($B$4&amp;" "&amp;$D$4))</f>
        <v/>
      </c>
      <c r="Y164" s="37"/>
      <c r="Z164" s="38"/>
      <c r="AA164" s="37"/>
      <c r="AB164" s="39" t="str">
        <f aca="false">IFERROR(IF(COUNTA($B164:$W164)+COUNTA($Y164:$AA164)=0,"",IF(A164="","① 条目ID未生成(先在顶栏填学号与编号)",IF(COUNTIF($A$8:$A$207,A164)&gt;1,"① 条目ID重复",IF(B164="","② 缺文件名称",IF(D164="","④ 缺位阶",IF(E164="","⑤ 缺制定区域",IF(NOT(ISNUMBER(H164)),"⑧ 施行日期须为日期格式 YYYY-MM-DD",IF(AND(I164&lt;&gt;"现行有效",I164&lt;&gt;"",J164=""),"⑩ 非现行有效须填失效/修订日期",IF(AND(ISNUMBER(J164),ISNUMBER(H164),J164&lt;=H164),"⑩ 失效日期须晚于施行日期",IF(K164="","⑪ 缺主题标签(主)",IF(AND(L164&lt;&gt;"",L164=K164),"⑫ 次标签不得与主标签相同",IF(AND(ISERROR(SEARCH("条",M164)),ISERROR(SEARCH("段",M164)),ISERROR(SEARCH("项",M164))),"⑬ 条文定位须到条/款/项或段",IF(OR(N164="",O164="",P164="",Q164=""),"⑭-⑰ 五要素未填全",IF(LEN(Q164)&gt;120,"⑰ 行为模式内容超120字,请再概括",IF(S164="","⑲ 缺原文摘录",IF(LEN(S164)&gt;200,"⑲ 原文摘录超200字,说明条文选得太大",IF(AND(E164="国家",U164=""),"㉑ 国家层须填央地权限配置",IF(AND(E164="国家",V164&lt;&gt;""),"㉒ 国家层不填地方自主权类型",IF(AND(E164&lt;&gt;"国家",V164=""),"㉒ 地方层须填地方自主权类型",IF(AND(E164&lt;&gt;"国家",U164&lt;&gt;""),"㉑ 地方层不填央地权限配置",IF(W164="","㉓ 缺核实来源",IF(X164="","㉔ 缺录入人",IF(Y164="","㉕ 缺版本号","✔ 通过基础校验"))))))))))))))))))))))),"⚠ 自检公式受损(勿用剪切移动单元格),请告知老师修复")</f>
        <v/>
      </c>
    </row>
    <row r="165" customFormat="false" ht="30" hidden="false" customHeight="true" outlineLevel="0" collapsed="false">
      <c r="A165" s="36" t="str">
        <f aca="false">IF($D$4="","",IF(COUNTA($B165:$W165)+COUNTA($Y165:$AA165)=0,"",$D$4&amp;"-"&amp;TEXT(ROW()-7,"000")))</f>
        <v/>
      </c>
      <c r="B165" s="37"/>
      <c r="C165" s="37"/>
      <c r="D165" s="37"/>
      <c r="E165" s="37"/>
      <c r="F165" s="37"/>
      <c r="G165" s="38"/>
      <c r="H165" s="38"/>
      <c r="I165" s="37"/>
      <c r="J165" s="38"/>
      <c r="K165" s="37"/>
      <c r="L165" s="37"/>
      <c r="M165" s="37"/>
      <c r="N165" s="37"/>
      <c r="O165" s="37"/>
      <c r="P165" s="37"/>
      <c r="Q165" s="37"/>
      <c r="R165" s="37"/>
      <c r="S165" s="37"/>
      <c r="T165" s="37"/>
      <c r="U165" s="37"/>
      <c r="V165" s="37"/>
      <c r="W165" s="37"/>
      <c r="X165" s="36" t="str">
        <f aca="false">IF($A165="","",TRIM($B$4&amp;" "&amp;$D$4))</f>
        <v/>
      </c>
      <c r="Y165" s="37"/>
      <c r="Z165" s="38"/>
      <c r="AA165" s="37"/>
      <c r="AB165" s="39" t="str">
        <f aca="false">IFERROR(IF(COUNTA($B165:$W165)+COUNTA($Y165:$AA165)=0,"",IF(A165="","① 条目ID未生成(先在顶栏填学号与编号)",IF(COUNTIF($A$8:$A$207,A165)&gt;1,"① 条目ID重复",IF(B165="","② 缺文件名称",IF(D165="","④ 缺位阶",IF(E165="","⑤ 缺制定区域",IF(NOT(ISNUMBER(H165)),"⑧ 施行日期须为日期格式 YYYY-MM-DD",IF(AND(I165&lt;&gt;"现行有效",I165&lt;&gt;"",J165=""),"⑩ 非现行有效须填失效/修订日期",IF(AND(ISNUMBER(J165),ISNUMBER(H165),J165&lt;=H165),"⑩ 失效日期须晚于施行日期",IF(K165="","⑪ 缺主题标签(主)",IF(AND(L165&lt;&gt;"",L165=K165),"⑫ 次标签不得与主标签相同",IF(AND(ISERROR(SEARCH("条",M165)),ISERROR(SEARCH("段",M165)),ISERROR(SEARCH("项",M165))),"⑬ 条文定位须到条/款/项或段",IF(OR(N165="",O165="",P165="",Q165=""),"⑭-⑰ 五要素未填全",IF(LEN(Q165)&gt;120,"⑰ 行为模式内容超120字,请再概括",IF(S165="","⑲ 缺原文摘录",IF(LEN(S165)&gt;200,"⑲ 原文摘录超200字,说明条文选得太大",IF(AND(E165="国家",U165=""),"㉑ 国家层须填央地权限配置",IF(AND(E165="国家",V165&lt;&gt;""),"㉒ 国家层不填地方自主权类型",IF(AND(E165&lt;&gt;"国家",V165=""),"㉒ 地方层须填地方自主权类型",IF(AND(E165&lt;&gt;"国家",U165&lt;&gt;""),"㉑ 地方层不填央地权限配置",IF(W165="","㉓ 缺核实来源",IF(X165="","㉔ 缺录入人",IF(Y165="","㉕ 缺版本号","✔ 通过基础校验"))))))))))))))))))))))),"⚠ 自检公式受损(勿用剪切移动单元格),请告知老师修复")</f>
        <v/>
      </c>
    </row>
    <row r="166" customFormat="false" ht="30" hidden="false" customHeight="true" outlineLevel="0" collapsed="false">
      <c r="A166" s="36" t="str">
        <f aca="false">IF($D$4="","",IF(COUNTA($B166:$W166)+COUNTA($Y166:$AA166)=0,"",$D$4&amp;"-"&amp;TEXT(ROW()-7,"000")))</f>
        <v/>
      </c>
      <c r="B166" s="37"/>
      <c r="C166" s="37"/>
      <c r="D166" s="37"/>
      <c r="E166" s="37"/>
      <c r="F166" s="37"/>
      <c r="G166" s="38"/>
      <c r="H166" s="38"/>
      <c r="I166" s="37"/>
      <c r="J166" s="38"/>
      <c r="K166" s="37"/>
      <c r="L166" s="37"/>
      <c r="M166" s="37"/>
      <c r="N166" s="37"/>
      <c r="O166" s="37"/>
      <c r="P166" s="37"/>
      <c r="Q166" s="37"/>
      <c r="R166" s="37"/>
      <c r="S166" s="37"/>
      <c r="T166" s="37"/>
      <c r="U166" s="37"/>
      <c r="V166" s="37"/>
      <c r="W166" s="37"/>
      <c r="X166" s="36" t="str">
        <f aca="false">IF($A166="","",TRIM($B$4&amp;" "&amp;$D$4))</f>
        <v/>
      </c>
      <c r="Y166" s="37"/>
      <c r="Z166" s="38"/>
      <c r="AA166" s="37"/>
      <c r="AB166" s="39" t="str">
        <f aca="false">IFERROR(IF(COUNTA($B166:$W166)+COUNTA($Y166:$AA166)=0,"",IF(A166="","① 条目ID未生成(先在顶栏填学号与编号)",IF(COUNTIF($A$8:$A$207,A166)&gt;1,"① 条目ID重复",IF(B166="","② 缺文件名称",IF(D166="","④ 缺位阶",IF(E166="","⑤ 缺制定区域",IF(NOT(ISNUMBER(H166)),"⑧ 施行日期须为日期格式 YYYY-MM-DD",IF(AND(I166&lt;&gt;"现行有效",I166&lt;&gt;"",J166=""),"⑩ 非现行有效须填失效/修订日期",IF(AND(ISNUMBER(J166),ISNUMBER(H166),J166&lt;=H166),"⑩ 失效日期须晚于施行日期",IF(K166="","⑪ 缺主题标签(主)",IF(AND(L166&lt;&gt;"",L166=K166),"⑫ 次标签不得与主标签相同",IF(AND(ISERROR(SEARCH("条",M166)),ISERROR(SEARCH("段",M166)),ISERROR(SEARCH("项",M166))),"⑬ 条文定位须到条/款/项或段",IF(OR(N166="",O166="",P166="",Q166=""),"⑭-⑰ 五要素未填全",IF(LEN(Q166)&gt;120,"⑰ 行为模式内容超120字,请再概括",IF(S166="","⑲ 缺原文摘录",IF(LEN(S166)&gt;200,"⑲ 原文摘录超200字,说明条文选得太大",IF(AND(E166="国家",U166=""),"㉑ 国家层须填央地权限配置",IF(AND(E166="国家",V166&lt;&gt;""),"㉒ 国家层不填地方自主权类型",IF(AND(E166&lt;&gt;"国家",V166=""),"㉒ 地方层须填地方自主权类型",IF(AND(E166&lt;&gt;"国家",U166&lt;&gt;""),"㉑ 地方层不填央地权限配置",IF(W166="","㉓ 缺核实来源",IF(X166="","㉔ 缺录入人",IF(Y166="","㉕ 缺版本号","✔ 通过基础校验"))))))))))))))))))))))),"⚠ 自检公式受损(勿用剪切移动单元格),请告知老师修复")</f>
        <v/>
      </c>
    </row>
    <row r="167" customFormat="false" ht="30" hidden="false" customHeight="true" outlineLevel="0" collapsed="false">
      <c r="A167" s="36" t="str">
        <f aca="false">IF($D$4="","",IF(COUNTA($B167:$W167)+COUNTA($Y167:$AA167)=0,"",$D$4&amp;"-"&amp;TEXT(ROW()-7,"000")))</f>
        <v/>
      </c>
      <c r="B167" s="37"/>
      <c r="C167" s="37"/>
      <c r="D167" s="37"/>
      <c r="E167" s="37"/>
      <c r="F167" s="37"/>
      <c r="G167" s="38"/>
      <c r="H167" s="38"/>
      <c r="I167" s="37"/>
      <c r="J167" s="38"/>
      <c r="K167" s="37"/>
      <c r="L167" s="37"/>
      <c r="M167" s="37"/>
      <c r="N167" s="37"/>
      <c r="O167" s="37"/>
      <c r="P167" s="37"/>
      <c r="Q167" s="37"/>
      <c r="R167" s="37"/>
      <c r="S167" s="37"/>
      <c r="T167" s="37"/>
      <c r="U167" s="37"/>
      <c r="V167" s="37"/>
      <c r="W167" s="37"/>
      <c r="X167" s="36" t="str">
        <f aca="false">IF($A167="","",TRIM($B$4&amp;" "&amp;$D$4))</f>
        <v/>
      </c>
      <c r="Y167" s="37"/>
      <c r="Z167" s="38"/>
      <c r="AA167" s="37"/>
      <c r="AB167" s="39" t="str">
        <f aca="false">IFERROR(IF(COUNTA($B167:$W167)+COUNTA($Y167:$AA167)=0,"",IF(A167="","① 条目ID未生成(先在顶栏填学号与编号)",IF(COUNTIF($A$8:$A$207,A167)&gt;1,"① 条目ID重复",IF(B167="","② 缺文件名称",IF(D167="","④ 缺位阶",IF(E167="","⑤ 缺制定区域",IF(NOT(ISNUMBER(H167)),"⑧ 施行日期须为日期格式 YYYY-MM-DD",IF(AND(I167&lt;&gt;"现行有效",I167&lt;&gt;"",J167=""),"⑩ 非现行有效须填失效/修订日期",IF(AND(ISNUMBER(J167),ISNUMBER(H167),J167&lt;=H167),"⑩ 失效日期须晚于施行日期",IF(K167="","⑪ 缺主题标签(主)",IF(AND(L167&lt;&gt;"",L167=K167),"⑫ 次标签不得与主标签相同",IF(AND(ISERROR(SEARCH("条",M167)),ISERROR(SEARCH("段",M167)),ISERROR(SEARCH("项",M167))),"⑬ 条文定位须到条/款/项或段",IF(OR(N167="",O167="",P167="",Q167=""),"⑭-⑰ 五要素未填全",IF(LEN(Q167)&gt;120,"⑰ 行为模式内容超120字,请再概括",IF(S167="","⑲ 缺原文摘录",IF(LEN(S167)&gt;200,"⑲ 原文摘录超200字,说明条文选得太大",IF(AND(E167="国家",U167=""),"㉑ 国家层须填央地权限配置",IF(AND(E167="国家",V167&lt;&gt;""),"㉒ 国家层不填地方自主权类型",IF(AND(E167&lt;&gt;"国家",V167=""),"㉒ 地方层须填地方自主权类型",IF(AND(E167&lt;&gt;"国家",U167&lt;&gt;""),"㉑ 地方层不填央地权限配置",IF(W167="","㉓ 缺核实来源",IF(X167="","㉔ 缺录入人",IF(Y167="","㉕ 缺版本号","✔ 通过基础校验"))))))))))))))))))))))),"⚠ 自检公式受损(勿用剪切移动单元格),请告知老师修复")</f>
        <v/>
      </c>
    </row>
    <row r="168" customFormat="false" ht="30" hidden="false" customHeight="true" outlineLevel="0" collapsed="false">
      <c r="A168" s="36" t="str">
        <f aca="false">IF($D$4="","",IF(COUNTA($B168:$W168)+COUNTA($Y168:$AA168)=0,"",$D$4&amp;"-"&amp;TEXT(ROW()-7,"000")))</f>
        <v/>
      </c>
      <c r="B168" s="37"/>
      <c r="C168" s="37"/>
      <c r="D168" s="37"/>
      <c r="E168" s="37"/>
      <c r="F168" s="37"/>
      <c r="G168" s="38"/>
      <c r="H168" s="38"/>
      <c r="I168" s="37"/>
      <c r="J168" s="38"/>
      <c r="K168" s="37"/>
      <c r="L168" s="37"/>
      <c r="M168" s="37"/>
      <c r="N168" s="37"/>
      <c r="O168" s="37"/>
      <c r="P168" s="37"/>
      <c r="Q168" s="37"/>
      <c r="R168" s="37"/>
      <c r="S168" s="37"/>
      <c r="T168" s="37"/>
      <c r="U168" s="37"/>
      <c r="V168" s="37"/>
      <c r="W168" s="37"/>
      <c r="X168" s="36" t="str">
        <f aca="false">IF($A168="","",TRIM($B$4&amp;" "&amp;$D$4))</f>
        <v/>
      </c>
      <c r="Y168" s="37"/>
      <c r="Z168" s="38"/>
      <c r="AA168" s="37"/>
      <c r="AB168" s="39" t="str">
        <f aca="false">IFERROR(IF(COUNTA($B168:$W168)+COUNTA($Y168:$AA168)=0,"",IF(A168="","① 条目ID未生成(先在顶栏填学号与编号)",IF(COUNTIF($A$8:$A$207,A168)&gt;1,"① 条目ID重复",IF(B168="","② 缺文件名称",IF(D168="","④ 缺位阶",IF(E168="","⑤ 缺制定区域",IF(NOT(ISNUMBER(H168)),"⑧ 施行日期须为日期格式 YYYY-MM-DD",IF(AND(I168&lt;&gt;"现行有效",I168&lt;&gt;"",J168=""),"⑩ 非现行有效须填失效/修订日期",IF(AND(ISNUMBER(J168),ISNUMBER(H168),J168&lt;=H168),"⑩ 失效日期须晚于施行日期",IF(K168="","⑪ 缺主题标签(主)",IF(AND(L168&lt;&gt;"",L168=K168),"⑫ 次标签不得与主标签相同",IF(AND(ISERROR(SEARCH("条",M168)),ISERROR(SEARCH("段",M168)),ISERROR(SEARCH("项",M168))),"⑬ 条文定位须到条/款/项或段",IF(OR(N168="",O168="",P168="",Q168=""),"⑭-⑰ 五要素未填全",IF(LEN(Q168)&gt;120,"⑰ 行为模式内容超120字,请再概括",IF(S168="","⑲ 缺原文摘录",IF(LEN(S168)&gt;200,"⑲ 原文摘录超200字,说明条文选得太大",IF(AND(E168="国家",U168=""),"㉑ 国家层须填央地权限配置",IF(AND(E168="国家",V168&lt;&gt;""),"㉒ 国家层不填地方自主权类型",IF(AND(E168&lt;&gt;"国家",V168=""),"㉒ 地方层须填地方自主权类型",IF(AND(E168&lt;&gt;"国家",U168&lt;&gt;""),"㉑ 地方层不填央地权限配置",IF(W168="","㉓ 缺核实来源",IF(X168="","㉔ 缺录入人",IF(Y168="","㉕ 缺版本号","✔ 通过基础校验"))))))))))))))))))))))),"⚠ 自检公式受损(勿用剪切移动单元格),请告知老师修复")</f>
        <v/>
      </c>
    </row>
    <row r="169" customFormat="false" ht="30" hidden="false" customHeight="true" outlineLevel="0" collapsed="false">
      <c r="A169" s="36" t="str">
        <f aca="false">IF($D$4="","",IF(COUNTA($B169:$W169)+COUNTA($Y169:$AA169)=0,"",$D$4&amp;"-"&amp;TEXT(ROW()-7,"000")))</f>
        <v/>
      </c>
      <c r="B169" s="37"/>
      <c r="C169" s="37"/>
      <c r="D169" s="37"/>
      <c r="E169" s="37"/>
      <c r="F169" s="37"/>
      <c r="G169" s="38"/>
      <c r="H169" s="38"/>
      <c r="I169" s="37"/>
      <c r="J169" s="38"/>
      <c r="K169" s="37"/>
      <c r="L169" s="37"/>
      <c r="M169" s="37"/>
      <c r="N169" s="37"/>
      <c r="O169" s="37"/>
      <c r="P169" s="37"/>
      <c r="Q169" s="37"/>
      <c r="R169" s="37"/>
      <c r="S169" s="37"/>
      <c r="T169" s="37"/>
      <c r="U169" s="37"/>
      <c r="V169" s="37"/>
      <c r="W169" s="37"/>
      <c r="X169" s="36" t="str">
        <f aca="false">IF($A169="","",TRIM($B$4&amp;" "&amp;$D$4))</f>
        <v/>
      </c>
      <c r="Y169" s="37"/>
      <c r="Z169" s="38"/>
      <c r="AA169" s="37"/>
      <c r="AB169" s="39" t="str">
        <f aca="false">IFERROR(IF(COUNTA($B169:$W169)+COUNTA($Y169:$AA169)=0,"",IF(A169="","① 条目ID未生成(先在顶栏填学号与编号)",IF(COUNTIF($A$8:$A$207,A169)&gt;1,"① 条目ID重复",IF(B169="","② 缺文件名称",IF(D169="","④ 缺位阶",IF(E169="","⑤ 缺制定区域",IF(NOT(ISNUMBER(H169)),"⑧ 施行日期须为日期格式 YYYY-MM-DD",IF(AND(I169&lt;&gt;"现行有效",I169&lt;&gt;"",J169=""),"⑩ 非现行有效须填失效/修订日期",IF(AND(ISNUMBER(J169),ISNUMBER(H169),J169&lt;=H169),"⑩ 失效日期须晚于施行日期",IF(K169="","⑪ 缺主题标签(主)",IF(AND(L169&lt;&gt;"",L169=K169),"⑫ 次标签不得与主标签相同",IF(AND(ISERROR(SEARCH("条",M169)),ISERROR(SEARCH("段",M169)),ISERROR(SEARCH("项",M169))),"⑬ 条文定位须到条/款/项或段",IF(OR(N169="",O169="",P169="",Q169=""),"⑭-⑰ 五要素未填全",IF(LEN(Q169)&gt;120,"⑰ 行为模式内容超120字,请再概括",IF(S169="","⑲ 缺原文摘录",IF(LEN(S169)&gt;200,"⑲ 原文摘录超200字,说明条文选得太大",IF(AND(E169="国家",U169=""),"㉑ 国家层须填央地权限配置",IF(AND(E169="国家",V169&lt;&gt;""),"㉒ 国家层不填地方自主权类型",IF(AND(E169&lt;&gt;"国家",V169=""),"㉒ 地方层须填地方自主权类型",IF(AND(E169&lt;&gt;"国家",U169&lt;&gt;""),"㉑ 地方层不填央地权限配置",IF(W169="","㉓ 缺核实来源",IF(X169="","㉔ 缺录入人",IF(Y169="","㉕ 缺版本号","✔ 通过基础校验"))))))))))))))))))))))),"⚠ 自检公式受损(勿用剪切移动单元格),请告知老师修复")</f>
        <v/>
      </c>
    </row>
    <row r="170" customFormat="false" ht="30" hidden="false" customHeight="true" outlineLevel="0" collapsed="false">
      <c r="A170" s="36" t="str">
        <f aca="false">IF($D$4="","",IF(COUNTA($B170:$W170)+COUNTA($Y170:$AA170)=0,"",$D$4&amp;"-"&amp;TEXT(ROW()-7,"000")))</f>
        <v/>
      </c>
      <c r="B170" s="37"/>
      <c r="C170" s="37"/>
      <c r="D170" s="37"/>
      <c r="E170" s="37"/>
      <c r="F170" s="37"/>
      <c r="G170" s="38"/>
      <c r="H170" s="38"/>
      <c r="I170" s="37"/>
      <c r="J170" s="38"/>
      <c r="K170" s="37"/>
      <c r="L170" s="37"/>
      <c r="M170" s="37"/>
      <c r="N170" s="37"/>
      <c r="O170" s="37"/>
      <c r="P170" s="37"/>
      <c r="Q170" s="37"/>
      <c r="R170" s="37"/>
      <c r="S170" s="37"/>
      <c r="T170" s="37"/>
      <c r="U170" s="37"/>
      <c r="V170" s="37"/>
      <c r="W170" s="37"/>
      <c r="X170" s="36" t="str">
        <f aca="false">IF($A170="","",TRIM($B$4&amp;" "&amp;$D$4))</f>
        <v/>
      </c>
      <c r="Y170" s="37"/>
      <c r="Z170" s="38"/>
      <c r="AA170" s="37"/>
      <c r="AB170" s="39" t="str">
        <f aca="false">IFERROR(IF(COUNTA($B170:$W170)+COUNTA($Y170:$AA170)=0,"",IF(A170="","① 条目ID未生成(先在顶栏填学号与编号)",IF(COUNTIF($A$8:$A$207,A170)&gt;1,"① 条目ID重复",IF(B170="","② 缺文件名称",IF(D170="","④ 缺位阶",IF(E170="","⑤ 缺制定区域",IF(NOT(ISNUMBER(H170)),"⑧ 施行日期须为日期格式 YYYY-MM-DD",IF(AND(I170&lt;&gt;"现行有效",I170&lt;&gt;"",J170=""),"⑩ 非现行有效须填失效/修订日期",IF(AND(ISNUMBER(J170),ISNUMBER(H170),J170&lt;=H170),"⑩ 失效日期须晚于施行日期",IF(K170="","⑪ 缺主题标签(主)",IF(AND(L170&lt;&gt;"",L170=K170),"⑫ 次标签不得与主标签相同",IF(AND(ISERROR(SEARCH("条",M170)),ISERROR(SEARCH("段",M170)),ISERROR(SEARCH("项",M170))),"⑬ 条文定位须到条/款/项或段",IF(OR(N170="",O170="",P170="",Q170=""),"⑭-⑰ 五要素未填全",IF(LEN(Q170)&gt;120,"⑰ 行为模式内容超120字,请再概括",IF(S170="","⑲ 缺原文摘录",IF(LEN(S170)&gt;200,"⑲ 原文摘录超200字,说明条文选得太大",IF(AND(E170="国家",U170=""),"㉑ 国家层须填央地权限配置",IF(AND(E170="国家",V170&lt;&gt;""),"㉒ 国家层不填地方自主权类型",IF(AND(E170&lt;&gt;"国家",V170=""),"㉒ 地方层须填地方自主权类型",IF(AND(E170&lt;&gt;"国家",U170&lt;&gt;""),"㉑ 地方层不填央地权限配置",IF(W170="","㉓ 缺核实来源",IF(X170="","㉔ 缺录入人",IF(Y170="","㉕ 缺版本号","✔ 通过基础校验"))))))))))))))))))))))),"⚠ 自检公式受损(勿用剪切移动单元格),请告知老师修复")</f>
        <v/>
      </c>
    </row>
    <row r="171" customFormat="false" ht="30" hidden="false" customHeight="true" outlineLevel="0" collapsed="false">
      <c r="A171" s="36" t="str">
        <f aca="false">IF($D$4="","",IF(COUNTA($B171:$W171)+COUNTA($Y171:$AA171)=0,"",$D$4&amp;"-"&amp;TEXT(ROW()-7,"000")))</f>
        <v/>
      </c>
      <c r="B171" s="37"/>
      <c r="C171" s="37"/>
      <c r="D171" s="37"/>
      <c r="E171" s="37"/>
      <c r="F171" s="37"/>
      <c r="G171" s="38"/>
      <c r="H171" s="38"/>
      <c r="I171" s="37"/>
      <c r="J171" s="38"/>
      <c r="K171" s="37"/>
      <c r="L171" s="37"/>
      <c r="M171" s="37"/>
      <c r="N171" s="37"/>
      <c r="O171" s="37"/>
      <c r="P171" s="37"/>
      <c r="Q171" s="37"/>
      <c r="R171" s="37"/>
      <c r="S171" s="37"/>
      <c r="T171" s="37"/>
      <c r="U171" s="37"/>
      <c r="V171" s="37"/>
      <c r="W171" s="37"/>
      <c r="X171" s="36" t="str">
        <f aca="false">IF($A171="","",TRIM($B$4&amp;" "&amp;$D$4))</f>
        <v/>
      </c>
      <c r="Y171" s="37"/>
      <c r="Z171" s="38"/>
      <c r="AA171" s="37"/>
      <c r="AB171" s="39" t="str">
        <f aca="false">IFERROR(IF(COUNTA($B171:$W171)+COUNTA($Y171:$AA171)=0,"",IF(A171="","① 条目ID未生成(先在顶栏填学号与编号)",IF(COUNTIF($A$8:$A$207,A171)&gt;1,"① 条目ID重复",IF(B171="","② 缺文件名称",IF(D171="","④ 缺位阶",IF(E171="","⑤ 缺制定区域",IF(NOT(ISNUMBER(H171)),"⑧ 施行日期须为日期格式 YYYY-MM-DD",IF(AND(I171&lt;&gt;"现行有效",I171&lt;&gt;"",J171=""),"⑩ 非现行有效须填失效/修订日期",IF(AND(ISNUMBER(J171),ISNUMBER(H171),J171&lt;=H171),"⑩ 失效日期须晚于施行日期",IF(K171="","⑪ 缺主题标签(主)",IF(AND(L171&lt;&gt;"",L171=K171),"⑫ 次标签不得与主标签相同",IF(AND(ISERROR(SEARCH("条",M171)),ISERROR(SEARCH("段",M171)),ISERROR(SEARCH("项",M171))),"⑬ 条文定位须到条/款/项或段",IF(OR(N171="",O171="",P171="",Q171=""),"⑭-⑰ 五要素未填全",IF(LEN(Q171)&gt;120,"⑰ 行为模式内容超120字,请再概括",IF(S171="","⑲ 缺原文摘录",IF(LEN(S171)&gt;200,"⑲ 原文摘录超200字,说明条文选得太大",IF(AND(E171="国家",U171=""),"㉑ 国家层须填央地权限配置",IF(AND(E171="国家",V171&lt;&gt;""),"㉒ 国家层不填地方自主权类型",IF(AND(E171&lt;&gt;"国家",V171=""),"㉒ 地方层须填地方自主权类型",IF(AND(E171&lt;&gt;"国家",U171&lt;&gt;""),"㉑ 地方层不填央地权限配置",IF(W171="","㉓ 缺核实来源",IF(X171="","㉔ 缺录入人",IF(Y171="","㉕ 缺版本号","✔ 通过基础校验"))))))))))))))))))))))),"⚠ 自检公式受损(勿用剪切移动单元格),请告知老师修复")</f>
        <v/>
      </c>
    </row>
    <row r="172" customFormat="false" ht="30" hidden="false" customHeight="true" outlineLevel="0" collapsed="false">
      <c r="A172" s="36" t="str">
        <f aca="false">IF($D$4="","",IF(COUNTA($B172:$W172)+COUNTA($Y172:$AA172)=0,"",$D$4&amp;"-"&amp;TEXT(ROW()-7,"000")))</f>
        <v/>
      </c>
      <c r="B172" s="37"/>
      <c r="C172" s="37"/>
      <c r="D172" s="37"/>
      <c r="E172" s="37"/>
      <c r="F172" s="37"/>
      <c r="G172" s="38"/>
      <c r="H172" s="38"/>
      <c r="I172" s="37"/>
      <c r="J172" s="38"/>
      <c r="K172" s="37"/>
      <c r="L172" s="37"/>
      <c r="M172" s="37"/>
      <c r="N172" s="37"/>
      <c r="O172" s="37"/>
      <c r="P172" s="37"/>
      <c r="Q172" s="37"/>
      <c r="R172" s="37"/>
      <c r="S172" s="37"/>
      <c r="T172" s="37"/>
      <c r="U172" s="37"/>
      <c r="V172" s="37"/>
      <c r="W172" s="37"/>
      <c r="X172" s="36" t="str">
        <f aca="false">IF($A172="","",TRIM($B$4&amp;" "&amp;$D$4))</f>
        <v/>
      </c>
      <c r="Y172" s="37"/>
      <c r="Z172" s="38"/>
      <c r="AA172" s="37"/>
      <c r="AB172" s="39" t="str">
        <f aca="false">IFERROR(IF(COUNTA($B172:$W172)+COUNTA($Y172:$AA172)=0,"",IF(A172="","① 条目ID未生成(先在顶栏填学号与编号)",IF(COUNTIF($A$8:$A$207,A172)&gt;1,"① 条目ID重复",IF(B172="","② 缺文件名称",IF(D172="","④ 缺位阶",IF(E172="","⑤ 缺制定区域",IF(NOT(ISNUMBER(H172)),"⑧ 施行日期须为日期格式 YYYY-MM-DD",IF(AND(I172&lt;&gt;"现行有效",I172&lt;&gt;"",J172=""),"⑩ 非现行有效须填失效/修订日期",IF(AND(ISNUMBER(J172),ISNUMBER(H172),J172&lt;=H172),"⑩ 失效日期须晚于施行日期",IF(K172="","⑪ 缺主题标签(主)",IF(AND(L172&lt;&gt;"",L172=K172),"⑫ 次标签不得与主标签相同",IF(AND(ISERROR(SEARCH("条",M172)),ISERROR(SEARCH("段",M172)),ISERROR(SEARCH("项",M172))),"⑬ 条文定位须到条/款/项或段",IF(OR(N172="",O172="",P172="",Q172=""),"⑭-⑰ 五要素未填全",IF(LEN(Q172)&gt;120,"⑰ 行为模式内容超120字,请再概括",IF(S172="","⑲ 缺原文摘录",IF(LEN(S172)&gt;200,"⑲ 原文摘录超200字,说明条文选得太大",IF(AND(E172="国家",U172=""),"㉑ 国家层须填央地权限配置",IF(AND(E172="国家",V172&lt;&gt;""),"㉒ 国家层不填地方自主权类型",IF(AND(E172&lt;&gt;"国家",V172=""),"㉒ 地方层须填地方自主权类型",IF(AND(E172&lt;&gt;"国家",U172&lt;&gt;""),"㉑ 地方层不填央地权限配置",IF(W172="","㉓ 缺核实来源",IF(X172="","㉔ 缺录入人",IF(Y172="","㉕ 缺版本号","✔ 通过基础校验"))))))))))))))))))))))),"⚠ 自检公式受损(勿用剪切移动单元格),请告知老师修复")</f>
        <v/>
      </c>
    </row>
    <row r="173" customFormat="false" ht="30" hidden="false" customHeight="true" outlineLevel="0" collapsed="false">
      <c r="A173" s="36" t="str">
        <f aca="false">IF($D$4="","",IF(COUNTA($B173:$W173)+COUNTA($Y173:$AA173)=0,"",$D$4&amp;"-"&amp;TEXT(ROW()-7,"000")))</f>
        <v/>
      </c>
      <c r="B173" s="37"/>
      <c r="C173" s="37"/>
      <c r="D173" s="37"/>
      <c r="E173" s="37"/>
      <c r="F173" s="37"/>
      <c r="G173" s="38"/>
      <c r="H173" s="38"/>
      <c r="I173" s="37"/>
      <c r="J173" s="38"/>
      <c r="K173" s="37"/>
      <c r="L173" s="37"/>
      <c r="M173" s="37"/>
      <c r="N173" s="37"/>
      <c r="O173" s="37"/>
      <c r="P173" s="37"/>
      <c r="Q173" s="37"/>
      <c r="R173" s="37"/>
      <c r="S173" s="37"/>
      <c r="T173" s="37"/>
      <c r="U173" s="37"/>
      <c r="V173" s="37"/>
      <c r="W173" s="37"/>
      <c r="X173" s="36" t="str">
        <f aca="false">IF($A173="","",TRIM($B$4&amp;" "&amp;$D$4))</f>
        <v/>
      </c>
      <c r="Y173" s="37"/>
      <c r="Z173" s="38"/>
      <c r="AA173" s="37"/>
      <c r="AB173" s="39" t="str">
        <f aca="false">IFERROR(IF(COUNTA($B173:$W173)+COUNTA($Y173:$AA173)=0,"",IF(A173="","① 条目ID未生成(先在顶栏填学号与编号)",IF(COUNTIF($A$8:$A$207,A173)&gt;1,"① 条目ID重复",IF(B173="","② 缺文件名称",IF(D173="","④ 缺位阶",IF(E173="","⑤ 缺制定区域",IF(NOT(ISNUMBER(H173)),"⑧ 施行日期须为日期格式 YYYY-MM-DD",IF(AND(I173&lt;&gt;"现行有效",I173&lt;&gt;"",J173=""),"⑩ 非现行有效须填失效/修订日期",IF(AND(ISNUMBER(J173),ISNUMBER(H173),J173&lt;=H173),"⑩ 失效日期须晚于施行日期",IF(K173="","⑪ 缺主题标签(主)",IF(AND(L173&lt;&gt;"",L173=K173),"⑫ 次标签不得与主标签相同",IF(AND(ISERROR(SEARCH("条",M173)),ISERROR(SEARCH("段",M173)),ISERROR(SEARCH("项",M173))),"⑬ 条文定位须到条/款/项或段",IF(OR(N173="",O173="",P173="",Q173=""),"⑭-⑰ 五要素未填全",IF(LEN(Q173)&gt;120,"⑰ 行为模式内容超120字,请再概括",IF(S173="","⑲ 缺原文摘录",IF(LEN(S173)&gt;200,"⑲ 原文摘录超200字,说明条文选得太大",IF(AND(E173="国家",U173=""),"㉑ 国家层须填央地权限配置",IF(AND(E173="国家",V173&lt;&gt;""),"㉒ 国家层不填地方自主权类型",IF(AND(E173&lt;&gt;"国家",V173=""),"㉒ 地方层须填地方自主权类型",IF(AND(E173&lt;&gt;"国家",U173&lt;&gt;""),"㉑ 地方层不填央地权限配置",IF(W173="","㉓ 缺核实来源",IF(X173="","㉔ 缺录入人",IF(Y173="","㉕ 缺版本号","✔ 通过基础校验"))))))))))))))))))))))),"⚠ 自检公式受损(勿用剪切移动单元格),请告知老师修复")</f>
        <v/>
      </c>
    </row>
    <row r="174" customFormat="false" ht="30" hidden="false" customHeight="true" outlineLevel="0" collapsed="false">
      <c r="A174" s="36" t="str">
        <f aca="false">IF($D$4="","",IF(COUNTA($B174:$W174)+COUNTA($Y174:$AA174)=0,"",$D$4&amp;"-"&amp;TEXT(ROW()-7,"000")))</f>
        <v/>
      </c>
      <c r="B174" s="37"/>
      <c r="C174" s="37"/>
      <c r="D174" s="37"/>
      <c r="E174" s="37"/>
      <c r="F174" s="37"/>
      <c r="G174" s="38"/>
      <c r="H174" s="38"/>
      <c r="I174" s="37"/>
      <c r="J174" s="38"/>
      <c r="K174" s="37"/>
      <c r="L174" s="37"/>
      <c r="M174" s="37"/>
      <c r="N174" s="37"/>
      <c r="O174" s="37"/>
      <c r="P174" s="37"/>
      <c r="Q174" s="37"/>
      <c r="R174" s="37"/>
      <c r="S174" s="37"/>
      <c r="T174" s="37"/>
      <c r="U174" s="37"/>
      <c r="V174" s="37"/>
      <c r="W174" s="37"/>
      <c r="X174" s="36" t="str">
        <f aca="false">IF($A174="","",TRIM($B$4&amp;" "&amp;$D$4))</f>
        <v/>
      </c>
      <c r="Y174" s="37"/>
      <c r="Z174" s="38"/>
      <c r="AA174" s="37"/>
      <c r="AB174" s="39" t="str">
        <f aca="false">IFERROR(IF(COUNTA($B174:$W174)+COUNTA($Y174:$AA174)=0,"",IF(A174="","① 条目ID未生成(先在顶栏填学号与编号)",IF(COUNTIF($A$8:$A$207,A174)&gt;1,"① 条目ID重复",IF(B174="","② 缺文件名称",IF(D174="","④ 缺位阶",IF(E174="","⑤ 缺制定区域",IF(NOT(ISNUMBER(H174)),"⑧ 施行日期须为日期格式 YYYY-MM-DD",IF(AND(I174&lt;&gt;"现行有效",I174&lt;&gt;"",J174=""),"⑩ 非现行有效须填失效/修订日期",IF(AND(ISNUMBER(J174),ISNUMBER(H174),J174&lt;=H174),"⑩ 失效日期须晚于施行日期",IF(K174="","⑪ 缺主题标签(主)",IF(AND(L174&lt;&gt;"",L174=K174),"⑫ 次标签不得与主标签相同",IF(AND(ISERROR(SEARCH("条",M174)),ISERROR(SEARCH("段",M174)),ISERROR(SEARCH("项",M174))),"⑬ 条文定位须到条/款/项或段",IF(OR(N174="",O174="",P174="",Q174=""),"⑭-⑰ 五要素未填全",IF(LEN(Q174)&gt;120,"⑰ 行为模式内容超120字,请再概括",IF(S174="","⑲ 缺原文摘录",IF(LEN(S174)&gt;200,"⑲ 原文摘录超200字,说明条文选得太大",IF(AND(E174="国家",U174=""),"㉑ 国家层须填央地权限配置",IF(AND(E174="国家",V174&lt;&gt;""),"㉒ 国家层不填地方自主权类型",IF(AND(E174&lt;&gt;"国家",V174=""),"㉒ 地方层须填地方自主权类型",IF(AND(E174&lt;&gt;"国家",U174&lt;&gt;""),"㉑ 地方层不填央地权限配置",IF(W174="","㉓ 缺核实来源",IF(X174="","㉔ 缺录入人",IF(Y174="","㉕ 缺版本号","✔ 通过基础校验"))))))))))))))))))))))),"⚠ 自检公式受损(勿用剪切移动单元格),请告知老师修复")</f>
        <v/>
      </c>
    </row>
    <row r="175" customFormat="false" ht="30" hidden="false" customHeight="true" outlineLevel="0" collapsed="false">
      <c r="A175" s="36" t="str">
        <f aca="false">IF($D$4="","",IF(COUNTA($B175:$W175)+COUNTA($Y175:$AA175)=0,"",$D$4&amp;"-"&amp;TEXT(ROW()-7,"000")))</f>
        <v/>
      </c>
      <c r="B175" s="37"/>
      <c r="C175" s="37"/>
      <c r="D175" s="37"/>
      <c r="E175" s="37"/>
      <c r="F175" s="37"/>
      <c r="G175" s="38"/>
      <c r="H175" s="38"/>
      <c r="I175" s="37"/>
      <c r="J175" s="38"/>
      <c r="K175" s="37"/>
      <c r="L175" s="37"/>
      <c r="M175" s="37"/>
      <c r="N175" s="37"/>
      <c r="O175" s="37"/>
      <c r="P175" s="37"/>
      <c r="Q175" s="37"/>
      <c r="R175" s="37"/>
      <c r="S175" s="37"/>
      <c r="T175" s="37"/>
      <c r="U175" s="37"/>
      <c r="V175" s="37"/>
      <c r="W175" s="37"/>
      <c r="X175" s="36" t="str">
        <f aca="false">IF($A175="","",TRIM($B$4&amp;" "&amp;$D$4))</f>
        <v/>
      </c>
      <c r="Y175" s="37"/>
      <c r="Z175" s="38"/>
      <c r="AA175" s="37"/>
      <c r="AB175" s="39" t="str">
        <f aca="false">IFERROR(IF(COUNTA($B175:$W175)+COUNTA($Y175:$AA175)=0,"",IF(A175="","① 条目ID未生成(先在顶栏填学号与编号)",IF(COUNTIF($A$8:$A$207,A175)&gt;1,"① 条目ID重复",IF(B175="","② 缺文件名称",IF(D175="","④ 缺位阶",IF(E175="","⑤ 缺制定区域",IF(NOT(ISNUMBER(H175)),"⑧ 施行日期须为日期格式 YYYY-MM-DD",IF(AND(I175&lt;&gt;"现行有效",I175&lt;&gt;"",J175=""),"⑩ 非现行有效须填失效/修订日期",IF(AND(ISNUMBER(J175),ISNUMBER(H175),J175&lt;=H175),"⑩ 失效日期须晚于施行日期",IF(K175="","⑪ 缺主题标签(主)",IF(AND(L175&lt;&gt;"",L175=K175),"⑫ 次标签不得与主标签相同",IF(AND(ISERROR(SEARCH("条",M175)),ISERROR(SEARCH("段",M175)),ISERROR(SEARCH("项",M175))),"⑬ 条文定位须到条/款/项或段",IF(OR(N175="",O175="",P175="",Q175=""),"⑭-⑰ 五要素未填全",IF(LEN(Q175)&gt;120,"⑰ 行为模式内容超120字,请再概括",IF(S175="","⑲ 缺原文摘录",IF(LEN(S175)&gt;200,"⑲ 原文摘录超200字,说明条文选得太大",IF(AND(E175="国家",U175=""),"㉑ 国家层须填央地权限配置",IF(AND(E175="国家",V175&lt;&gt;""),"㉒ 国家层不填地方自主权类型",IF(AND(E175&lt;&gt;"国家",V175=""),"㉒ 地方层须填地方自主权类型",IF(AND(E175&lt;&gt;"国家",U175&lt;&gt;""),"㉑ 地方层不填央地权限配置",IF(W175="","㉓ 缺核实来源",IF(X175="","㉔ 缺录入人",IF(Y175="","㉕ 缺版本号","✔ 通过基础校验"))))))))))))))))))))))),"⚠ 自检公式受损(勿用剪切移动单元格),请告知老师修复")</f>
        <v/>
      </c>
    </row>
    <row r="176" customFormat="false" ht="30" hidden="false" customHeight="true" outlineLevel="0" collapsed="false">
      <c r="A176" s="36" t="str">
        <f aca="false">IF($D$4="","",IF(COUNTA($B176:$W176)+COUNTA($Y176:$AA176)=0,"",$D$4&amp;"-"&amp;TEXT(ROW()-7,"000")))</f>
        <v/>
      </c>
      <c r="B176" s="37"/>
      <c r="C176" s="37"/>
      <c r="D176" s="37"/>
      <c r="E176" s="37"/>
      <c r="F176" s="37"/>
      <c r="G176" s="38"/>
      <c r="H176" s="38"/>
      <c r="I176" s="37"/>
      <c r="J176" s="38"/>
      <c r="K176" s="37"/>
      <c r="L176" s="37"/>
      <c r="M176" s="37"/>
      <c r="N176" s="37"/>
      <c r="O176" s="37"/>
      <c r="P176" s="37"/>
      <c r="Q176" s="37"/>
      <c r="R176" s="37"/>
      <c r="S176" s="37"/>
      <c r="T176" s="37"/>
      <c r="U176" s="37"/>
      <c r="V176" s="37"/>
      <c r="W176" s="37"/>
      <c r="X176" s="36" t="str">
        <f aca="false">IF($A176="","",TRIM($B$4&amp;" "&amp;$D$4))</f>
        <v/>
      </c>
      <c r="Y176" s="37"/>
      <c r="Z176" s="38"/>
      <c r="AA176" s="37"/>
      <c r="AB176" s="39" t="str">
        <f aca="false">IFERROR(IF(COUNTA($B176:$W176)+COUNTA($Y176:$AA176)=0,"",IF(A176="","① 条目ID未生成(先在顶栏填学号与编号)",IF(COUNTIF($A$8:$A$207,A176)&gt;1,"① 条目ID重复",IF(B176="","② 缺文件名称",IF(D176="","④ 缺位阶",IF(E176="","⑤ 缺制定区域",IF(NOT(ISNUMBER(H176)),"⑧ 施行日期须为日期格式 YYYY-MM-DD",IF(AND(I176&lt;&gt;"现行有效",I176&lt;&gt;"",J176=""),"⑩ 非现行有效须填失效/修订日期",IF(AND(ISNUMBER(J176),ISNUMBER(H176),J176&lt;=H176),"⑩ 失效日期须晚于施行日期",IF(K176="","⑪ 缺主题标签(主)",IF(AND(L176&lt;&gt;"",L176=K176),"⑫ 次标签不得与主标签相同",IF(AND(ISERROR(SEARCH("条",M176)),ISERROR(SEARCH("段",M176)),ISERROR(SEARCH("项",M176))),"⑬ 条文定位须到条/款/项或段",IF(OR(N176="",O176="",P176="",Q176=""),"⑭-⑰ 五要素未填全",IF(LEN(Q176)&gt;120,"⑰ 行为模式内容超120字,请再概括",IF(S176="","⑲ 缺原文摘录",IF(LEN(S176)&gt;200,"⑲ 原文摘录超200字,说明条文选得太大",IF(AND(E176="国家",U176=""),"㉑ 国家层须填央地权限配置",IF(AND(E176="国家",V176&lt;&gt;""),"㉒ 国家层不填地方自主权类型",IF(AND(E176&lt;&gt;"国家",V176=""),"㉒ 地方层须填地方自主权类型",IF(AND(E176&lt;&gt;"国家",U176&lt;&gt;""),"㉑ 地方层不填央地权限配置",IF(W176="","㉓ 缺核实来源",IF(X176="","㉔ 缺录入人",IF(Y176="","㉕ 缺版本号","✔ 通过基础校验"))))))))))))))))))))))),"⚠ 自检公式受损(勿用剪切移动单元格),请告知老师修复")</f>
        <v/>
      </c>
    </row>
    <row r="177" customFormat="false" ht="30" hidden="false" customHeight="true" outlineLevel="0" collapsed="false">
      <c r="A177" s="36" t="str">
        <f aca="false">IF($D$4="","",IF(COUNTA($B177:$W177)+COUNTA($Y177:$AA177)=0,"",$D$4&amp;"-"&amp;TEXT(ROW()-7,"000")))</f>
        <v/>
      </c>
      <c r="B177" s="37"/>
      <c r="C177" s="37"/>
      <c r="D177" s="37"/>
      <c r="E177" s="37"/>
      <c r="F177" s="37"/>
      <c r="G177" s="38"/>
      <c r="H177" s="38"/>
      <c r="I177" s="37"/>
      <c r="J177" s="38"/>
      <c r="K177" s="37"/>
      <c r="L177" s="37"/>
      <c r="M177" s="37"/>
      <c r="N177" s="37"/>
      <c r="O177" s="37"/>
      <c r="P177" s="37"/>
      <c r="Q177" s="37"/>
      <c r="R177" s="37"/>
      <c r="S177" s="37"/>
      <c r="T177" s="37"/>
      <c r="U177" s="37"/>
      <c r="V177" s="37"/>
      <c r="W177" s="37"/>
      <c r="X177" s="36" t="str">
        <f aca="false">IF($A177="","",TRIM($B$4&amp;" "&amp;$D$4))</f>
        <v/>
      </c>
      <c r="Y177" s="37"/>
      <c r="Z177" s="38"/>
      <c r="AA177" s="37"/>
      <c r="AB177" s="39" t="str">
        <f aca="false">IFERROR(IF(COUNTA($B177:$W177)+COUNTA($Y177:$AA177)=0,"",IF(A177="","① 条目ID未生成(先在顶栏填学号与编号)",IF(COUNTIF($A$8:$A$207,A177)&gt;1,"① 条目ID重复",IF(B177="","② 缺文件名称",IF(D177="","④ 缺位阶",IF(E177="","⑤ 缺制定区域",IF(NOT(ISNUMBER(H177)),"⑧ 施行日期须为日期格式 YYYY-MM-DD",IF(AND(I177&lt;&gt;"现行有效",I177&lt;&gt;"",J177=""),"⑩ 非现行有效须填失效/修订日期",IF(AND(ISNUMBER(J177),ISNUMBER(H177),J177&lt;=H177),"⑩ 失效日期须晚于施行日期",IF(K177="","⑪ 缺主题标签(主)",IF(AND(L177&lt;&gt;"",L177=K177),"⑫ 次标签不得与主标签相同",IF(AND(ISERROR(SEARCH("条",M177)),ISERROR(SEARCH("段",M177)),ISERROR(SEARCH("项",M177))),"⑬ 条文定位须到条/款/项或段",IF(OR(N177="",O177="",P177="",Q177=""),"⑭-⑰ 五要素未填全",IF(LEN(Q177)&gt;120,"⑰ 行为模式内容超120字,请再概括",IF(S177="","⑲ 缺原文摘录",IF(LEN(S177)&gt;200,"⑲ 原文摘录超200字,说明条文选得太大",IF(AND(E177="国家",U177=""),"㉑ 国家层须填央地权限配置",IF(AND(E177="国家",V177&lt;&gt;""),"㉒ 国家层不填地方自主权类型",IF(AND(E177&lt;&gt;"国家",V177=""),"㉒ 地方层须填地方自主权类型",IF(AND(E177&lt;&gt;"国家",U177&lt;&gt;""),"㉑ 地方层不填央地权限配置",IF(W177="","㉓ 缺核实来源",IF(X177="","㉔ 缺录入人",IF(Y177="","㉕ 缺版本号","✔ 通过基础校验"))))))))))))))))))))))),"⚠ 自检公式受损(勿用剪切移动单元格),请告知老师修复")</f>
        <v/>
      </c>
    </row>
    <row r="178" customFormat="false" ht="30" hidden="false" customHeight="true" outlineLevel="0" collapsed="false">
      <c r="A178" s="36" t="str">
        <f aca="false">IF($D$4="","",IF(COUNTA($B178:$W178)+COUNTA($Y178:$AA178)=0,"",$D$4&amp;"-"&amp;TEXT(ROW()-7,"000")))</f>
        <v/>
      </c>
      <c r="B178" s="37"/>
      <c r="C178" s="37"/>
      <c r="D178" s="37"/>
      <c r="E178" s="37"/>
      <c r="F178" s="37"/>
      <c r="G178" s="38"/>
      <c r="H178" s="38"/>
      <c r="I178" s="37"/>
      <c r="J178" s="38"/>
      <c r="K178" s="37"/>
      <c r="L178" s="37"/>
      <c r="M178" s="37"/>
      <c r="N178" s="37"/>
      <c r="O178" s="37"/>
      <c r="P178" s="37"/>
      <c r="Q178" s="37"/>
      <c r="R178" s="37"/>
      <c r="S178" s="37"/>
      <c r="T178" s="37"/>
      <c r="U178" s="37"/>
      <c r="V178" s="37"/>
      <c r="W178" s="37"/>
      <c r="X178" s="36" t="str">
        <f aca="false">IF($A178="","",TRIM($B$4&amp;" "&amp;$D$4))</f>
        <v/>
      </c>
      <c r="Y178" s="37"/>
      <c r="Z178" s="38"/>
      <c r="AA178" s="37"/>
      <c r="AB178" s="39" t="str">
        <f aca="false">IFERROR(IF(COUNTA($B178:$W178)+COUNTA($Y178:$AA178)=0,"",IF(A178="","① 条目ID未生成(先在顶栏填学号与编号)",IF(COUNTIF($A$8:$A$207,A178)&gt;1,"① 条目ID重复",IF(B178="","② 缺文件名称",IF(D178="","④ 缺位阶",IF(E178="","⑤ 缺制定区域",IF(NOT(ISNUMBER(H178)),"⑧ 施行日期须为日期格式 YYYY-MM-DD",IF(AND(I178&lt;&gt;"现行有效",I178&lt;&gt;"",J178=""),"⑩ 非现行有效须填失效/修订日期",IF(AND(ISNUMBER(J178),ISNUMBER(H178),J178&lt;=H178),"⑩ 失效日期须晚于施行日期",IF(K178="","⑪ 缺主题标签(主)",IF(AND(L178&lt;&gt;"",L178=K178),"⑫ 次标签不得与主标签相同",IF(AND(ISERROR(SEARCH("条",M178)),ISERROR(SEARCH("段",M178)),ISERROR(SEARCH("项",M178))),"⑬ 条文定位须到条/款/项或段",IF(OR(N178="",O178="",P178="",Q178=""),"⑭-⑰ 五要素未填全",IF(LEN(Q178)&gt;120,"⑰ 行为模式内容超120字,请再概括",IF(S178="","⑲ 缺原文摘录",IF(LEN(S178)&gt;200,"⑲ 原文摘录超200字,说明条文选得太大",IF(AND(E178="国家",U178=""),"㉑ 国家层须填央地权限配置",IF(AND(E178="国家",V178&lt;&gt;""),"㉒ 国家层不填地方自主权类型",IF(AND(E178&lt;&gt;"国家",V178=""),"㉒ 地方层须填地方自主权类型",IF(AND(E178&lt;&gt;"国家",U178&lt;&gt;""),"㉑ 地方层不填央地权限配置",IF(W178="","㉓ 缺核实来源",IF(X178="","㉔ 缺录入人",IF(Y178="","㉕ 缺版本号","✔ 通过基础校验"))))))))))))))))))))))),"⚠ 自检公式受损(勿用剪切移动单元格),请告知老师修复")</f>
        <v/>
      </c>
    </row>
    <row r="179" customFormat="false" ht="30" hidden="false" customHeight="true" outlineLevel="0" collapsed="false">
      <c r="A179" s="36" t="str">
        <f aca="false">IF($D$4="","",IF(COUNTA($B179:$W179)+COUNTA($Y179:$AA179)=0,"",$D$4&amp;"-"&amp;TEXT(ROW()-7,"000")))</f>
        <v/>
      </c>
      <c r="B179" s="37"/>
      <c r="C179" s="37"/>
      <c r="D179" s="37"/>
      <c r="E179" s="37"/>
      <c r="F179" s="37"/>
      <c r="G179" s="38"/>
      <c r="H179" s="38"/>
      <c r="I179" s="37"/>
      <c r="J179" s="38"/>
      <c r="K179" s="37"/>
      <c r="L179" s="37"/>
      <c r="M179" s="37"/>
      <c r="N179" s="37"/>
      <c r="O179" s="37"/>
      <c r="P179" s="37"/>
      <c r="Q179" s="37"/>
      <c r="R179" s="37"/>
      <c r="S179" s="37"/>
      <c r="T179" s="37"/>
      <c r="U179" s="37"/>
      <c r="V179" s="37"/>
      <c r="W179" s="37"/>
      <c r="X179" s="36" t="str">
        <f aca="false">IF($A179="","",TRIM($B$4&amp;" "&amp;$D$4))</f>
        <v/>
      </c>
      <c r="Y179" s="37"/>
      <c r="Z179" s="38"/>
      <c r="AA179" s="37"/>
      <c r="AB179" s="39" t="str">
        <f aca="false">IFERROR(IF(COUNTA($B179:$W179)+COUNTA($Y179:$AA179)=0,"",IF(A179="","① 条目ID未生成(先在顶栏填学号与编号)",IF(COUNTIF($A$8:$A$207,A179)&gt;1,"① 条目ID重复",IF(B179="","② 缺文件名称",IF(D179="","④ 缺位阶",IF(E179="","⑤ 缺制定区域",IF(NOT(ISNUMBER(H179)),"⑧ 施行日期须为日期格式 YYYY-MM-DD",IF(AND(I179&lt;&gt;"现行有效",I179&lt;&gt;"",J179=""),"⑩ 非现行有效须填失效/修订日期",IF(AND(ISNUMBER(J179),ISNUMBER(H179),J179&lt;=H179),"⑩ 失效日期须晚于施行日期",IF(K179="","⑪ 缺主题标签(主)",IF(AND(L179&lt;&gt;"",L179=K179),"⑫ 次标签不得与主标签相同",IF(AND(ISERROR(SEARCH("条",M179)),ISERROR(SEARCH("段",M179)),ISERROR(SEARCH("项",M179))),"⑬ 条文定位须到条/款/项或段",IF(OR(N179="",O179="",P179="",Q179=""),"⑭-⑰ 五要素未填全",IF(LEN(Q179)&gt;120,"⑰ 行为模式内容超120字,请再概括",IF(S179="","⑲ 缺原文摘录",IF(LEN(S179)&gt;200,"⑲ 原文摘录超200字,说明条文选得太大",IF(AND(E179="国家",U179=""),"㉑ 国家层须填央地权限配置",IF(AND(E179="国家",V179&lt;&gt;""),"㉒ 国家层不填地方自主权类型",IF(AND(E179&lt;&gt;"国家",V179=""),"㉒ 地方层须填地方自主权类型",IF(AND(E179&lt;&gt;"国家",U179&lt;&gt;""),"㉑ 地方层不填央地权限配置",IF(W179="","㉓ 缺核实来源",IF(X179="","㉔ 缺录入人",IF(Y179="","㉕ 缺版本号","✔ 通过基础校验"))))))))))))))))))))))),"⚠ 自检公式受损(勿用剪切移动单元格),请告知老师修复")</f>
        <v/>
      </c>
    </row>
    <row r="180" customFormat="false" ht="30" hidden="false" customHeight="true" outlineLevel="0" collapsed="false">
      <c r="A180" s="36" t="str">
        <f aca="false">IF($D$4="","",IF(COUNTA($B180:$W180)+COUNTA($Y180:$AA180)=0,"",$D$4&amp;"-"&amp;TEXT(ROW()-7,"000")))</f>
        <v/>
      </c>
      <c r="B180" s="37"/>
      <c r="C180" s="37"/>
      <c r="D180" s="37"/>
      <c r="E180" s="37"/>
      <c r="F180" s="37"/>
      <c r="G180" s="38"/>
      <c r="H180" s="38"/>
      <c r="I180" s="37"/>
      <c r="J180" s="38"/>
      <c r="K180" s="37"/>
      <c r="L180" s="37"/>
      <c r="M180" s="37"/>
      <c r="N180" s="37"/>
      <c r="O180" s="37"/>
      <c r="P180" s="37"/>
      <c r="Q180" s="37"/>
      <c r="R180" s="37"/>
      <c r="S180" s="37"/>
      <c r="T180" s="37"/>
      <c r="U180" s="37"/>
      <c r="V180" s="37"/>
      <c r="W180" s="37"/>
      <c r="X180" s="36" t="str">
        <f aca="false">IF($A180="","",TRIM($B$4&amp;" "&amp;$D$4))</f>
        <v/>
      </c>
      <c r="Y180" s="37"/>
      <c r="Z180" s="38"/>
      <c r="AA180" s="37"/>
      <c r="AB180" s="39" t="str">
        <f aca="false">IFERROR(IF(COUNTA($B180:$W180)+COUNTA($Y180:$AA180)=0,"",IF(A180="","① 条目ID未生成(先在顶栏填学号与编号)",IF(COUNTIF($A$8:$A$207,A180)&gt;1,"① 条目ID重复",IF(B180="","② 缺文件名称",IF(D180="","④ 缺位阶",IF(E180="","⑤ 缺制定区域",IF(NOT(ISNUMBER(H180)),"⑧ 施行日期须为日期格式 YYYY-MM-DD",IF(AND(I180&lt;&gt;"现行有效",I180&lt;&gt;"",J180=""),"⑩ 非现行有效须填失效/修订日期",IF(AND(ISNUMBER(J180),ISNUMBER(H180),J180&lt;=H180),"⑩ 失效日期须晚于施行日期",IF(K180="","⑪ 缺主题标签(主)",IF(AND(L180&lt;&gt;"",L180=K180),"⑫ 次标签不得与主标签相同",IF(AND(ISERROR(SEARCH("条",M180)),ISERROR(SEARCH("段",M180)),ISERROR(SEARCH("项",M180))),"⑬ 条文定位须到条/款/项或段",IF(OR(N180="",O180="",P180="",Q180=""),"⑭-⑰ 五要素未填全",IF(LEN(Q180)&gt;120,"⑰ 行为模式内容超120字,请再概括",IF(S180="","⑲ 缺原文摘录",IF(LEN(S180)&gt;200,"⑲ 原文摘录超200字,说明条文选得太大",IF(AND(E180="国家",U180=""),"㉑ 国家层须填央地权限配置",IF(AND(E180="国家",V180&lt;&gt;""),"㉒ 国家层不填地方自主权类型",IF(AND(E180&lt;&gt;"国家",V180=""),"㉒ 地方层须填地方自主权类型",IF(AND(E180&lt;&gt;"国家",U180&lt;&gt;""),"㉑ 地方层不填央地权限配置",IF(W180="","㉓ 缺核实来源",IF(X180="","㉔ 缺录入人",IF(Y180="","㉕ 缺版本号","✔ 通过基础校验"))))))))))))))))))))))),"⚠ 自检公式受损(勿用剪切移动单元格),请告知老师修复")</f>
        <v/>
      </c>
    </row>
    <row r="181" customFormat="false" ht="30" hidden="false" customHeight="true" outlineLevel="0" collapsed="false">
      <c r="A181" s="36" t="str">
        <f aca="false">IF($D$4="","",IF(COUNTA($B181:$W181)+COUNTA($Y181:$AA181)=0,"",$D$4&amp;"-"&amp;TEXT(ROW()-7,"000")))</f>
        <v/>
      </c>
      <c r="B181" s="37"/>
      <c r="C181" s="37"/>
      <c r="D181" s="37"/>
      <c r="E181" s="37"/>
      <c r="F181" s="37"/>
      <c r="G181" s="38"/>
      <c r="H181" s="38"/>
      <c r="I181" s="37"/>
      <c r="J181" s="38"/>
      <c r="K181" s="37"/>
      <c r="L181" s="37"/>
      <c r="M181" s="37"/>
      <c r="N181" s="37"/>
      <c r="O181" s="37"/>
      <c r="P181" s="37"/>
      <c r="Q181" s="37"/>
      <c r="R181" s="37"/>
      <c r="S181" s="37"/>
      <c r="T181" s="37"/>
      <c r="U181" s="37"/>
      <c r="V181" s="37"/>
      <c r="W181" s="37"/>
      <c r="X181" s="36" t="str">
        <f aca="false">IF($A181="","",TRIM($B$4&amp;" "&amp;$D$4))</f>
        <v/>
      </c>
      <c r="Y181" s="37"/>
      <c r="Z181" s="38"/>
      <c r="AA181" s="37"/>
      <c r="AB181" s="39" t="str">
        <f aca="false">IFERROR(IF(COUNTA($B181:$W181)+COUNTA($Y181:$AA181)=0,"",IF(A181="","① 条目ID未生成(先在顶栏填学号与编号)",IF(COUNTIF($A$8:$A$207,A181)&gt;1,"① 条目ID重复",IF(B181="","② 缺文件名称",IF(D181="","④ 缺位阶",IF(E181="","⑤ 缺制定区域",IF(NOT(ISNUMBER(H181)),"⑧ 施行日期须为日期格式 YYYY-MM-DD",IF(AND(I181&lt;&gt;"现行有效",I181&lt;&gt;"",J181=""),"⑩ 非现行有效须填失效/修订日期",IF(AND(ISNUMBER(J181),ISNUMBER(H181),J181&lt;=H181),"⑩ 失效日期须晚于施行日期",IF(K181="","⑪ 缺主题标签(主)",IF(AND(L181&lt;&gt;"",L181=K181),"⑫ 次标签不得与主标签相同",IF(AND(ISERROR(SEARCH("条",M181)),ISERROR(SEARCH("段",M181)),ISERROR(SEARCH("项",M181))),"⑬ 条文定位须到条/款/项或段",IF(OR(N181="",O181="",P181="",Q181=""),"⑭-⑰ 五要素未填全",IF(LEN(Q181)&gt;120,"⑰ 行为模式内容超120字,请再概括",IF(S181="","⑲ 缺原文摘录",IF(LEN(S181)&gt;200,"⑲ 原文摘录超200字,说明条文选得太大",IF(AND(E181="国家",U181=""),"㉑ 国家层须填央地权限配置",IF(AND(E181="国家",V181&lt;&gt;""),"㉒ 国家层不填地方自主权类型",IF(AND(E181&lt;&gt;"国家",V181=""),"㉒ 地方层须填地方自主权类型",IF(AND(E181&lt;&gt;"国家",U181&lt;&gt;""),"㉑ 地方层不填央地权限配置",IF(W181="","㉓ 缺核实来源",IF(X181="","㉔ 缺录入人",IF(Y181="","㉕ 缺版本号","✔ 通过基础校验"))))))))))))))))))))))),"⚠ 自检公式受损(勿用剪切移动单元格),请告知老师修复")</f>
        <v/>
      </c>
    </row>
    <row r="182" customFormat="false" ht="30" hidden="false" customHeight="true" outlineLevel="0" collapsed="false">
      <c r="A182" s="36" t="str">
        <f aca="false">IF($D$4="","",IF(COUNTA($B182:$W182)+COUNTA($Y182:$AA182)=0,"",$D$4&amp;"-"&amp;TEXT(ROW()-7,"000")))</f>
        <v/>
      </c>
      <c r="B182" s="37"/>
      <c r="C182" s="37"/>
      <c r="D182" s="37"/>
      <c r="E182" s="37"/>
      <c r="F182" s="37"/>
      <c r="G182" s="38"/>
      <c r="H182" s="38"/>
      <c r="I182" s="37"/>
      <c r="J182" s="38"/>
      <c r="K182" s="37"/>
      <c r="L182" s="37"/>
      <c r="M182" s="37"/>
      <c r="N182" s="37"/>
      <c r="O182" s="37"/>
      <c r="P182" s="37"/>
      <c r="Q182" s="37"/>
      <c r="R182" s="37"/>
      <c r="S182" s="37"/>
      <c r="T182" s="37"/>
      <c r="U182" s="37"/>
      <c r="V182" s="37"/>
      <c r="W182" s="37"/>
      <c r="X182" s="36" t="str">
        <f aca="false">IF($A182="","",TRIM($B$4&amp;" "&amp;$D$4))</f>
        <v/>
      </c>
      <c r="Y182" s="37"/>
      <c r="Z182" s="38"/>
      <c r="AA182" s="37"/>
      <c r="AB182" s="39" t="str">
        <f aca="false">IFERROR(IF(COUNTA($B182:$W182)+COUNTA($Y182:$AA182)=0,"",IF(A182="","① 条目ID未生成(先在顶栏填学号与编号)",IF(COUNTIF($A$8:$A$207,A182)&gt;1,"① 条目ID重复",IF(B182="","② 缺文件名称",IF(D182="","④ 缺位阶",IF(E182="","⑤ 缺制定区域",IF(NOT(ISNUMBER(H182)),"⑧ 施行日期须为日期格式 YYYY-MM-DD",IF(AND(I182&lt;&gt;"现行有效",I182&lt;&gt;"",J182=""),"⑩ 非现行有效须填失效/修订日期",IF(AND(ISNUMBER(J182),ISNUMBER(H182),J182&lt;=H182),"⑩ 失效日期须晚于施行日期",IF(K182="","⑪ 缺主题标签(主)",IF(AND(L182&lt;&gt;"",L182=K182),"⑫ 次标签不得与主标签相同",IF(AND(ISERROR(SEARCH("条",M182)),ISERROR(SEARCH("段",M182)),ISERROR(SEARCH("项",M182))),"⑬ 条文定位须到条/款/项或段",IF(OR(N182="",O182="",P182="",Q182=""),"⑭-⑰ 五要素未填全",IF(LEN(Q182)&gt;120,"⑰ 行为模式内容超120字,请再概括",IF(S182="","⑲ 缺原文摘录",IF(LEN(S182)&gt;200,"⑲ 原文摘录超200字,说明条文选得太大",IF(AND(E182="国家",U182=""),"㉑ 国家层须填央地权限配置",IF(AND(E182="国家",V182&lt;&gt;""),"㉒ 国家层不填地方自主权类型",IF(AND(E182&lt;&gt;"国家",V182=""),"㉒ 地方层须填地方自主权类型",IF(AND(E182&lt;&gt;"国家",U182&lt;&gt;""),"㉑ 地方层不填央地权限配置",IF(W182="","㉓ 缺核实来源",IF(X182="","㉔ 缺录入人",IF(Y182="","㉕ 缺版本号","✔ 通过基础校验"))))))))))))))))))))))),"⚠ 自检公式受损(勿用剪切移动单元格),请告知老师修复")</f>
        <v/>
      </c>
    </row>
    <row r="183" customFormat="false" ht="30" hidden="false" customHeight="true" outlineLevel="0" collapsed="false">
      <c r="A183" s="36" t="str">
        <f aca="false">IF($D$4="","",IF(COUNTA($B183:$W183)+COUNTA($Y183:$AA183)=0,"",$D$4&amp;"-"&amp;TEXT(ROW()-7,"000")))</f>
        <v/>
      </c>
      <c r="B183" s="37"/>
      <c r="C183" s="37"/>
      <c r="D183" s="37"/>
      <c r="E183" s="37"/>
      <c r="F183" s="37"/>
      <c r="G183" s="38"/>
      <c r="H183" s="38"/>
      <c r="I183" s="37"/>
      <c r="J183" s="38"/>
      <c r="K183" s="37"/>
      <c r="L183" s="37"/>
      <c r="M183" s="37"/>
      <c r="N183" s="37"/>
      <c r="O183" s="37"/>
      <c r="P183" s="37"/>
      <c r="Q183" s="37"/>
      <c r="R183" s="37"/>
      <c r="S183" s="37"/>
      <c r="T183" s="37"/>
      <c r="U183" s="37"/>
      <c r="V183" s="37"/>
      <c r="W183" s="37"/>
      <c r="X183" s="36" t="str">
        <f aca="false">IF($A183="","",TRIM($B$4&amp;" "&amp;$D$4))</f>
        <v/>
      </c>
      <c r="Y183" s="37"/>
      <c r="Z183" s="38"/>
      <c r="AA183" s="37"/>
      <c r="AB183" s="39" t="str">
        <f aca="false">IFERROR(IF(COUNTA($B183:$W183)+COUNTA($Y183:$AA183)=0,"",IF(A183="","① 条目ID未生成(先在顶栏填学号与编号)",IF(COUNTIF($A$8:$A$207,A183)&gt;1,"① 条目ID重复",IF(B183="","② 缺文件名称",IF(D183="","④ 缺位阶",IF(E183="","⑤ 缺制定区域",IF(NOT(ISNUMBER(H183)),"⑧ 施行日期须为日期格式 YYYY-MM-DD",IF(AND(I183&lt;&gt;"现行有效",I183&lt;&gt;"",J183=""),"⑩ 非现行有效须填失效/修订日期",IF(AND(ISNUMBER(J183),ISNUMBER(H183),J183&lt;=H183),"⑩ 失效日期须晚于施行日期",IF(K183="","⑪ 缺主题标签(主)",IF(AND(L183&lt;&gt;"",L183=K183),"⑫ 次标签不得与主标签相同",IF(AND(ISERROR(SEARCH("条",M183)),ISERROR(SEARCH("段",M183)),ISERROR(SEARCH("项",M183))),"⑬ 条文定位须到条/款/项或段",IF(OR(N183="",O183="",P183="",Q183=""),"⑭-⑰ 五要素未填全",IF(LEN(Q183)&gt;120,"⑰ 行为模式内容超120字,请再概括",IF(S183="","⑲ 缺原文摘录",IF(LEN(S183)&gt;200,"⑲ 原文摘录超200字,说明条文选得太大",IF(AND(E183="国家",U183=""),"㉑ 国家层须填央地权限配置",IF(AND(E183="国家",V183&lt;&gt;""),"㉒ 国家层不填地方自主权类型",IF(AND(E183&lt;&gt;"国家",V183=""),"㉒ 地方层须填地方自主权类型",IF(AND(E183&lt;&gt;"国家",U183&lt;&gt;""),"㉑ 地方层不填央地权限配置",IF(W183="","㉓ 缺核实来源",IF(X183="","㉔ 缺录入人",IF(Y183="","㉕ 缺版本号","✔ 通过基础校验"))))))))))))))))))))))),"⚠ 自检公式受损(勿用剪切移动单元格),请告知老师修复")</f>
        <v/>
      </c>
    </row>
    <row r="184" customFormat="false" ht="30" hidden="false" customHeight="true" outlineLevel="0" collapsed="false">
      <c r="A184" s="36" t="str">
        <f aca="false">IF($D$4="","",IF(COUNTA($B184:$W184)+COUNTA($Y184:$AA184)=0,"",$D$4&amp;"-"&amp;TEXT(ROW()-7,"000")))</f>
        <v/>
      </c>
      <c r="B184" s="37"/>
      <c r="C184" s="37"/>
      <c r="D184" s="37"/>
      <c r="E184" s="37"/>
      <c r="F184" s="37"/>
      <c r="G184" s="38"/>
      <c r="H184" s="38"/>
      <c r="I184" s="37"/>
      <c r="J184" s="38"/>
      <c r="K184" s="37"/>
      <c r="L184" s="37"/>
      <c r="M184" s="37"/>
      <c r="N184" s="37"/>
      <c r="O184" s="37"/>
      <c r="P184" s="37"/>
      <c r="Q184" s="37"/>
      <c r="R184" s="37"/>
      <c r="S184" s="37"/>
      <c r="T184" s="37"/>
      <c r="U184" s="37"/>
      <c r="V184" s="37"/>
      <c r="W184" s="37"/>
      <c r="X184" s="36" t="str">
        <f aca="false">IF($A184="","",TRIM($B$4&amp;" "&amp;$D$4))</f>
        <v/>
      </c>
      <c r="Y184" s="37"/>
      <c r="Z184" s="38"/>
      <c r="AA184" s="37"/>
      <c r="AB184" s="39" t="str">
        <f aca="false">IFERROR(IF(COUNTA($B184:$W184)+COUNTA($Y184:$AA184)=0,"",IF(A184="","① 条目ID未生成(先在顶栏填学号与编号)",IF(COUNTIF($A$8:$A$207,A184)&gt;1,"① 条目ID重复",IF(B184="","② 缺文件名称",IF(D184="","④ 缺位阶",IF(E184="","⑤ 缺制定区域",IF(NOT(ISNUMBER(H184)),"⑧ 施行日期须为日期格式 YYYY-MM-DD",IF(AND(I184&lt;&gt;"现行有效",I184&lt;&gt;"",J184=""),"⑩ 非现行有效须填失效/修订日期",IF(AND(ISNUMBER(J184),ISNUMBER(H184),J184&lt;=H184),"⑩ 失效日期须晚于施行日期",IF(K184="","⑪ 缺主题标签(主)",IF(AND(L184&lt;&gt;"",L184=K184),"⑫ 次标签不得与主标签相同",IF(AND(ISERROR(SEARCH("条",M184)),ISERROR(SEARCH("段",M184)),ISERROR(SEARCH("项",M184))),"⑬ 条文定位须到条/款/项或段",IF(OR(N184="",O184="",P184="",Q184=""),"⑭-⑰ 五要素未填全",IF(LEN(Q184)&gt;120,"⑰ 行为模式内容超120字,请再概括",IF(S184="","⑲ 缺原文摘录",IF(LEN(S184)&gt;200,"⑲ 原文摘录超200字,说明条文选得太大",IF(AND(E184="国家",U184=""),"㉑ 国家层须填央地权限配置",IF(AND(E184="国家",V184&lt;&gt;""),"㉒ 国家层不填地方自主权类型",IF(AND(E184&lt;&gt;"国家",V184=""),"㉒ 地方层须填地方自主权类型",IF(AND(E184&lt;&gt;"国家",U184&lt;&gt;""),"㉑ 地方层不填央地权限配置",IF(W184="","㉓ 缺核实来源",IF(X184="","㉔ 缺录入人",IF(Y184="","㉕ 缺版本号","✔ 通过基础校验"))))))))))))))))))))))),"⚠ 自检公式受损(勿用剪切移动单元格),请告知老师修复")</f>
        <v/>
      </c>
    </row>
    <row r="185" customFormat="false" ht="30" hidden="false" customHeight="true" outlineLevel="0" collapsed="false">
      <c r="A185" s="36" t="str">
        <f aca="false">IF($D$4="","",IF(COUNTA($B185:$W185)+COUNTA($Y185:$AA185)=0,"",$D$4&amp;"-"&amp;TEXT(ROW()-7,"000")))</f>
        <v/>
      </c>
      <c r="B185" s="37"/>
      <c r="C185" s="37"/>
      <c r="D185" s="37"/>
      <c r="E185" s="37"/>
      <c r="F185" s="37"/>
      <c r="G185" s="38"/>
      <c r="H185" s="38"/>
      <c r="I185" s="37"/>
      <c r="J185" s="38"/>
      <c r="K185" s="37"/>
      <c r="L185" s="37"/>
      <c r="M185" s="37"/>
      <c r="N185" s="37"/>
      <c r="O185" s="37"/>
      <c r="P185" s="37"/>
      <c r="Q185" s="37"/>
      <c r="R185" s="37"/>
      <c r="S185" s="37"/>
      <c r="T185" s="37"/>
      <c r="U185" s="37"/>
      <c r="V185" s="37"/>
      <c r="W185" s="37"/>
      <c r="X185" s="36" t="str">
        <f aca="false">IF($A185="","",TRIM($B$4&amp;" "&amp;$D$4))</f>
        <v/>
      </c>
      <c r="Y185" s="37"/>
      <c r="Z185" s="38"/>
      <c r="AA185" s="37"/>
      <c r="AB185" s="39" t="str">
        <f aca="false">IFERROR(IF(COUNTA($B185:$W185)+COUNTA($Y185:$AA185)=0,"",IF(A185="","① 条目ID未生成(先在顶栏填学号与编号)",IF(COUNTIF($A$8:$A$207,A185)&gt;1,"① 条目ID重复",IF(B185="","② 缺文件名称",IF(D185="","④ 缺位阶",IF(E185="","⑤ 缺制定区域",IF(NOT(ISNUMBER(H185)),"⑧ 施行日期须为日期格式 YYYY-MM-DD",IF(AND(I185&lt;&gt;"现行有效",I185&lt;&gt;"",J185=""),"⑩ 非现行有效须填失效/修订日期",IF(AND(ISNUMBER(J185),ISNUMBER(H185),J185&lt;=H185),"⑩ 失效日期须晚于施行日期",IF(K185="","⑪ 缺主题标签(主)",IF(AND(L185&lt;&gt;"",L185=K185),"⑫ 次标签不得与主标签相同",IF(AND(ISERROR(SEARCH("条",M185)),ISERROR(SEARCH("段",M185)),ISERROR(SEARCH("项",M185))),"⑬ 条文定位须到条/款/项或段",IF(OR(N185="",O185="",P185="",Q185=""),"⑭-⑰ 五要素未填全",IF(LEN(Q185)&gt;120,"⑰ 行为模式内容超120字,请再概括",IF(S185="","⑲ 缺原文摘录",IF(LEN(S185)&gt;200,"⑲ 原文摘录超200字,说明条文选得太大",IF(AND(E185="国家",U185=""),"㉑ 国家层须填央地权限配置",IF(AND(E185="国家",V185&lt;&gt;""),"㉒ 国家层不填地方自主权类型",IF(AND(E185&lt;&gt;"国家",V185=""),"㉒ 地方层须填地方自主权类型",IF(AND(E185&lt;&gt;"国家",U185&lt;&gt;""),"㉑ 地方层不填央地权限配置",IF(W185="","㉓ 缺核实来源",IF(X185="","㉔ 缺录入人",IF(Y185="","㉕ 缺版本号","✔ 通过基础校验"))))))))))))))))))))))),"⚠ 自检公式受损(勿用剪切移动单元格),请告知老师修复")</f>
        <v/>
      </c>
    </row>
    <row r="186" customFormat="false" ht="30" hidden="false" customHeight="true" outlineLevel="0" collapsed="false">
      <c r="A186" s="36" t="str">
        <f aca="false">IF($D$4="","",IF(COUNTA($B186:$W186)+COUNTA($Y186:$AA186)=0,"",$D$4&amp;"-"&amp;TEXT(ROW()-7,"000")))</f>
        <v/>
      </c>
      <c r="B186" s="37"/>
      <c r="C186" s="37"/>
      <c r="D186" s="37"/>
      <c r="E186" s="37"/>
      <c r="F186" s="37"/>
      <c r="G186" s="38"/>
      <c r="H186" s="38"/>
      <c r="I186" s="37"/>
      <c r="J186" s="38"/>
      <c r="K186" s="37"/>
      <c r="L186" s="37"/>
      <c r="M186" s="37"/>
      <c r="N186" s="37"/>
      <c r="O186" s="37"/>
      <c r="P186" s="37"/>
      <c r="Q186" s="37"/>
      <c r="R186" s="37"/>
      <c r="S186" s="37"/>
      <c r="T186" s="37"/>
      <c r="U186" s="37"/>
      <c r="V186" s="37"/>
      <c r="W186" s="37"/>
      <c r="X186" s="36" t="str">
        <f aca="false">IF($A186="","",TRIM($B$4&amp;" "&amp;$D$4))</f>
        <v/>
      </c>
      <c r="Y186" s="37"/>
      <c r="Z186" s="38"/>
      <c r="AA186" s="37"/>
      <c r="AB186" s="39" t="str">
        <f aca="false">IFERROR(IF(COUNTA($B186:$W186)+COUNTA($Y186:$AA186)=0,"",IF(A186="","① 条目ID未生成(先在顶栏填学号与编号)",IF(COUNTIF($A$8:$A$207,A186)&gt;1,"① 条目ID重复",IF(B186="","② 缺文件名称",IF(D186="","④ 缺位阶",IF(E186="","⑤ 缺制定区域",IF(NOT(ISNUMBER(H186)),"⑧ 施行日期须为日期格式 YYYY-MM-DD",IF(AND(I186&lt;&gt;"现行有效",I186&lt;&gt;"",J186=""),"⑩ 非现行有效须填失效/修订日期",IF(AND(ISNUMBER(J186),ISNUMBER(H186),J186&lt;=H186),"⑩ 失效日期须晚于施行日期",IF(K186="","⑪ 缺主题标签(主)",IF(AND(L186&lt;&gt;"",L186=K186),"⑫ 次标签不得与主标签相同",IF(AND(ISERROR(SEARCH("条",M186)),ISERROR(SEARCH("段",M186)),ISERROR(SEARCH("项",M186))),"⑬ 条文定位须到条/款/项或段",IF(OR(N186="",O186="",P186="",Q186=""),"⑭-⑰ 五要素未填全",IF(LEN(Q186)&gt;120,"⑰ 行为模式内容超120字,请再概括",IF(S186="","⑲ 缺原文摘录",IF(LEN(S186)&gt;200,"⑲ 原文摘录超200字,说明条文选得太大",IF(AND(E186="国家",U186=""),"㉑ 国家层须填央地权限配置",IF(AND(E186="国家",V186&lt;&gt;""),"㉒ 国家层不填地方自主权类型",IF(AND(E186&lt;&gt;"国家",V186=""),"㉒ 地方层须填地方自主权类型",IF(AND(E186&lt;&gt;"国家",U186&lt;&gt;""),"㉑ 地方层不填央地权限配置",IF(W186="","㉓ 缺核实来源",IF(X186="","㉔ 缺录入人",IF(Y186="","㉕ 缺版本号","✔ 通过基础校验"))))))))))))))))))))))),"⚠ 自检公式受损(勿用剪切移动单元格),请告知老师修复")</f>
        <v/>
      </c>
    </row>
    <row r="187" customFormat="false" ht="30" hidden="false" customHeight="true" outlineLevel="0" collapsed="false">
      <c r="A187" s="36" t="str">
        <f aca="false">IF($D$4="","",IF(COUNTA($B187:$W187)+COUNTA($Y187:$AA187)=0,"",$D$4&amp;"-"&amp;TEXT(ROW()-7,"000")))</f>
        <v/>
      </c>
      <c r="B187" s="37"/>
      <c r="C187" s="37"/>
      <c r="D187" s="37"/>
      <c r="E187" s="37"/>
      <c r="F187" s="37"/>
      <c r="G187" s="38"/>
      <c r="H187" s="38"/>
      <c r="I187" s="37"/>
      <c r="J187" s="38"/>
      <c r="K187" s="37"/>
      <c r="L187" s="37"/>
      <c r="M187" s="37"/>
      <c r="N187" s="37"/>
      <c r="O187" s="37"/>
      <c r="P187" s="37"/>
      <c r="Q187" s="37"/>
      <c r="R187" s="37"/>
      <c r="S187" s="37"/>
      <c r="T187" s="37"/>
      <c r="U187" s="37"/>
      <c r="V187" s="37"/>
      <c r="W187" s="37"/>
      <c r="X187" s="36" t="str">
        <f aca="false">IF($A187="","",TRIM($B$4&amp;" "&amp;$D$4))</f>
        <v/>
      </c>
      <c r="Y187" s="37"/>
      <c r="Z187" s="38"/>
      <c r="AA187" s="37"/>
      <c r="AB187" s="39" t="str">
        <f aca="false">IFERROR(IF(COUNTA($B187:$W187)+COUNTA($Y187:$AA187)=0,"",IF(A187="","① 条目ID未生成(先在顶栏填学号与编号)",IF(COUNTIF($A$8:$A$207,A187)&gt;1,"① 条目ID重复",IF(B187="","② 缺文件名称",IF(D187="","④ 缺位阶",IF(E187="","⑤ 缺制定区域",IF(NOT(ISNUMBER(H187)),"⑧ 施行日期须为日期格式 YYYY-MM-DD",IF(AND(I187&lt;&gt;"现行有效",I187&lt;&gt;"",J187=""),"⑩ 非现行有效须填失效/修订日期",IF(AND(ISNUMBER(J187),ISNUMBER(H187),J187&lt;=H187),"⑩ 失效日期须晚于施行日期",IF(K187="","⑪ 缺主题标签(主)",IF(AND(L187&lt;&gt;"",L187=K187),"⑫ 次标签不得与主标签相同",IF(AND(ISERROR(SEARCH("条",M187)),ISERROR(SEARCH("段",M187)),ISERROR(SEARCH("项",M187))),"⑬ 条文定位须到条/款/项或段",IF(OR(N187="",O187="",P187="",Q187=""),"⑭-⑰ 五要素未填全",IF(LEN(Q187)&gt;120,"⑰ 行为模式内容超120字,请再概括",IF(S187="","⑲ 缺原文摘录",IF(LEN(S187)&gt;200,"⑲ 原文摘录超200字,说明条文选得太大",IF(AND(E187="国家",U187=""),"㉑ 国家层须填央地权限配置",IF(AND(E187="国家",V187&lt;&gt;""),"㉒ 国家层不填地方自主权类型",IF(AND(E187&lt;&gt;"国家",V187=""),"㉒ 地方层须填地方自主权类型",IF(AND(E187&lt;&gt;"国家",U187&lt;&gt;""),"㉑ 地方层不填央地权限配置",IF(W187="","㉓ 缺核实来源",IF(X187="","㉔ 缺录入人",IF(Y187="","㉕ 缺版本号","✔ 通过基础校验"))))))))))))))))))))))),"⚠ 自检公式受损(勿用剪切移动单元格),请告知老师修复")</f>
        <v/>
      </c>
    </row>
    <row r="188" customFormat="false" ht="30" hidden="false" customHeight="true" outlineLevel="0" collapsed="false">
      <c r="A188" s="36" t="str">
        <f aca="false">IF($D$4="","",IF(COUNTA($B188:$W188)+COUNTA($Y188:$AA188)=0,"",$D$4&amp;"-"&amp;TEXT(ROW()-7,"000")))</f>
        <v/>
      </c>
      <c r="B188" s="37"/>
      <c r="C188" s="37"/>
      <c r="D188" s="37"/>
      <c r="E188" s="37"/>
      <c r="F188" s="37"/>
      <c r="G188" s="38"/>
      <c r="H188" s="38"/>
      <c r="I188" s="37"/>
      <c r="J188" s="38"/>
      <c r="K188" s="37"/>
      <c r="L188" s="37"/>
      <c r="M188" s="37"/>
      <c r="N188" s="37"/>
      <c r="O188" s="37"/>
      <c r="P188" s="37"/>
      <c r="Q188" s="37"/>
      <c r="R188" s="37"/>
      <c r="S188" s="37"/>
      <c r="T188" s="37"/>
      <c r="U188" s="37"/>
      <c r="V188" s="37"/>
      <c r="W188" s="37"/>
      <c r="X188" s="36" t="str">
        <f aca="false">IF($A188="","",TRIM($B$4&amp;" "&amp;$D$4))</f>
        <v/>
      </c>
      <c r="Y188" s="37"/>
      <c r="Z188" s="38"/>
      <c r="AA188" s="37"/>
      <c r="AB188" s="39" t="str">
        <f aca="false">IFERROR(IF(COUNTA($B188:$W188)+COUNTA($Y188:$AA188)=0,"",IF(A188="","① 条目ID未生成(先在顶栏填学号与编号)",IF(COUNTIF($A$8:$A$207,A188)&gt;1,"① 条目ID重复",IF(B188="","② 缺文件名称",IF(D188="","④ 缺位阶",IF(E188="","⑤ 缺制定区域",IF(NOT(ISNUMBER(H188)),"⑧ 施行日期须为日期格式 YYYY-MM-DD",IF(AND(I188&lt;&gt;"现行有效",I188&lt;&gt;"",J188=""),"⑩ 非现行有效须填失效/修订日期",IF(AND(ISNUMBER(J188),ISNUMBER(H188),J188&lt;=H188),"⑩ 失效日期须晚于施行日期",IF(K188="","⑪ 缺主题标签(主)",IF(AND(L188&lt;&gt;"",L188=K188),"⑫ 次标签不得与主标签相同",IF(AND(ISERROR(SEARCH("条",M188)),ISERROR(SEARCH("段",M188)),ISERROR(SEARCH("项",M188))),"⑬ 条文定位须到条/款/项或段",IF(OR(N188="",O188="",P188="",Q188=""),"⑭-⑰ 五要素未填全",IF(LEN(Q188)&gt;120,"⑰ 行为模式内容超120字,请再概括",IF(S188="","⑲ 缺原文摘录",IF(LEN(S188)&gt;200,"⑲ 原文摘录超200字,说明条文选得太大",IF(AND(E188="国家",U188=""),"㉑ 国家层须填央地权限配置",IF(AND(E188="国家",V188&lt;&gt;""),"㉒ 国家层不填地方自主权类型",IF(AND(E188&lt;&gt;"国家",V188=""),"㉒ 地方层须填地方自主权类型",IF(AND(E188&lt;&gt;"国家",U188&lt;&gt;""),"㉑ 地方层不填央地权限配置",IF(W188="","㉓ 缺核实来源",IF(X188="","㉔ 缺录入人",IF(Y188="","㉕ 缺版本号","✔ 通过基础校验"))))))))))))))))))))))),"⚠ 自检公式受损(勿用剪切移动单元格),请告知老师修复")</f>
        <v/>
      </c>
    </row>
    <row r="189" customFormat="false" ht="30" hidden="false" customHeight="true" outlineLevel="0" collapsed="false">
      <c r="A189" s="36" t="str">
        <f aca="false">IF($D$4="","",IF(COUNTA($B189:$W189)+COUNTA($Y189:$AA189)=0,"",$D$4&amp;"-"&amp;TEXT(ROW()-7,"000")))</f>
        <v/>
      </c>
      <c r="B189" s="37"/>
      <c r="C189" s="37"/>
      <c r="D189" s="37"/>
      <c r="E189" s="37"/>
      <c r="F189" s="37"/>
      <c r="G189" s="38"/>
      <c r="H189" s="38"/>
      <c r="I189" s="37"/>
      <c r="J189" s="38"/>
      <c r="K189" s="37"/>
      <c r="L189" s="37"/>
      <c r="M189" s="37"/>
      <c r="N189" s="37"/>
      <c r="O189" s="37"/>
      <c r="P189" s="37"/>
      <c r="Q189" s="37"/>
      <c r="R189" s="37"/>
      <c r="S189" s="37"/>
      <c r="T189" s="37"/>
      <c r="U189" s="37"/>
      <c r="V189" s="37"/>
      <c r="W189" s="37"/>
      <c r="X189" s="36" t="str">
        <f aca="false">IF($A189="","",TRIM($B$4&amp;" "&amp;$D$4))</f>
        <v/>
      </c>
      <c r="Y189" s="37"/>
      <c r="Z189" s="38"/>
      <c r="AA189" s="37"/>
      <c r="AB189" s="39" t="str">
        <f aca="false">IFERROR(IF(COUNTA($B189:$W189)+COUNTA($Y189:$AA189)=0,"",IF(A189="","① 条目ID未生成(先在顶栏填学号与编号)",IF(COUNTIF($A$8:$A$207,A189)&gt;1,"① 条目ID重复",IF(B189="","② 缺文件名称",IF(D189="","④ 缺位阶",IF(E189="","⑤ 缺制定区域",IF(NOT(ISNUMBER(H189)),"⑧ 施行日期须为日期格式 YYYY-MM-DD",IF(AND(I189&lt;&gt;"现行有效",I189&lt;&gt;"",J189=""),"⑩ 非现行有效须填失效/修订日期",IF(AND(ISNUMBER(J189),ISNUMBER(H189),J189&lt;=H189),"⑩ 失效日期须晚于施行日期",IF(K189="","⑪ 缺主题标签(主)",IF(AND(L189&lt;&gt;"",L189=K189),"⑫ 次标签不得与主标签相同",IF(AND(ISERROR(SEARCH("条",M189)),ISERROR(SEARCH("段",M189)),ISERROR(SEARCH("项",M189))),"⑬ 条文定位须到条/款/项或段",IF(OR(N189="",O189="",P189="",Q189=""),"⑭-⑰ 五要素未填全",IF(LEN(Q189)&gt;120,"⑰ 行为模式内容超120字,请再概括",IF(S189="","⑲ 缺原文摘录",IF(LEN(S189)&gt;200,"⑲ 原文摘录超200字,说明条文选得太大",IF(AND(E189="国家",U189=""),"㉑ 国家层须填央地权限配置",IF(AND(E189="国家",V189&lt;&gt;""),"㉒ 国家层不填地方自主权类型",IF(AND(E189&lt;&gt;"国家",V189=""),"㉒ 地方层须填地方自主权类型",IF(AND(E189&lt;&gt;"国家",U189&lt;&gt;""),"㉑ 地方层不填央地权限配置",IF(W189="","㉓ 缺核实来源",IF(X189="","㉔ 缺录入人",IF(Y189="","㉕ 缺版本号","✔ 通过基础校验"))))))))))))))))))))))),"⚠ 自检公式受损(勿用剪切移动单元格),请告知老师修复")</f>
        <v/>
      </c>
    </row>
    <row r="190" customFormat="false" ht="30" hidden="false" customHeight="true" outlineLevel="0" collapsed="false">
      <c r="A190" s="36" t="str">
        <f aca="false">IF($D$4="","",IF(COUNTA($B190:$W190)+COUNTA($Y190:$AA190)=0,"",$D$4&amp;"-"&amp;TEXT(ROW()-7,"000")))</f>
        <v/>
      </c>
      <c r="B190" s="37"/>
      <c r="C190" s="37"/>
      <c r="D190" s="37"/>
      <c r="E190" s="37"/>
      <c r="F190" s="37"/>
      <c r="G190" s="38"/>
      <c r="H190" s="38"/>
      <c r="I190" s="37"/>
      <c r="J190" s="38"/>
      <c r="K190" s="37"/>
      <c r="L190" s="37"/>
      <c r="M190" s="37"/>
      <c r="N190" s="37"/>
      <c r="O190" s="37"/>
      <c r="P190" s="37"/>
      <c r="Q190" s="37"/>
      <c r="R190" s="37"/>
      <c r="S190" s="37"/>
      <c r="T190" s="37"/>
      <c r="U190" s="37"/>
      <c r="V190" s="37"/>
      <c r="W190" s="37"/>
      <c r="X190" s="36" t="str">
        <f aca="false">IF($A190="","",TRIM($B$4&amp;" "&amp;$D$4))</f>
        <v/>
      </c>
      <c r="Y190" s="37"/>
      <c r="Z190" s="38"/>
      <c r="AA190" s="37"/>
      <c r="AB190" s="39" t="str">
        <f aca="false">IFERROR(IF(COUNTA($B190:$W190)+COUNTA($Y190:$AA190)=0,"",IF(A190="","① 条目ID未生成(先在顶栏填学号与编号)",IF(COUNTIF($A$8:$A$207,A190)&gt;1,"① 条目ID重复",IF(B190="","② 缺文件名称",IF(D190="","④ 缺位阶",IF(E190="","⑤ 缺制定区域",IF(NOT(ISNUMBER(H190)),"⑧ 施行日期须为日期格式 YYYY-MM-DD",IF(AND(I190&lt;&gt;"现行有效",I190&lt;&gt;"",J190=""),"⑩ 非现行有效须填失效/修订日期",IF(AND(ISNUMBER(J190),ISNUMBER(H190),J190&lt;=H190),"⑩ 失效日期须晚于施行日期",IF(K190="","⑪ 缺主题标签(主)",IF(AND(L190&lt;&gt;"",L190=K190),"⑫ 次标签不得与主标签相同",IF(AND(ISERROR(SEARCH("条",M190)),ISERROR(SEARCH("段",M190)),ISERROR(SEARCH("项",M190))),"⑬ 条文定位须到条/款/项或段",IF(OR(N190="",O190="",P190="",Q190=""),"⑭-⑰ 五要素未填全",IF(LEN(Q190)&gt;120,"⑰ 行为模式内容超120字,请再概括",IF(S190="","⑲ 缺原文摘录",IF(LEN(S190)&gt;200,"⑲ 原文摘录超200字,说明条文选得太大",IF(AND(E190="国家",U190=""),"㉑ 国家层须填央地权限配置",IF(AND(E190="国家",V190&lt;&gt;""),"㉒ 国家层不填地方自主权类型",IF(AND(E190&lt;&gt;"国家",V190=""),"㉒ 地方层须填地方自主权类型",IF(AND(E190&lt;&gt;"国家",U190&lt;&gt;""),"㉑ 地方层不填央地权限配置",IF(W190="","㉓ 缺核实来源",IF(X190="","㉔ 缺录入人",IF(Y190="","㉕ 缺版本号","✔ 通过基础校验"))))))))))))))))))))))),"⚠ 自检公式受损(勿用剪切移动单元格),请告知老师修复")</f>
        <v/>
      </c>
    </row>
    <row r="191" customFormat="false" ht="30" hidden="false" customHeight="true" outlineLevel="0" collapsed="false">
      <c r="A191" s="36" t="str">
        <f aca="false">IF($D$4="","",IF(COUNTA($B191:$W191)+COUNTA($Y191:$AA191)=0,"",$D$4&amp;"-"&amp;TEXT(ROW()-7,"000")))</f>
        <v/>
      </c>
      <c r="B191" s="37"/>
      <c r="C191" s="37"/>
      <c r="D191" s="37"/>
      <c r="E191" s="37"/>
      <c r="F191" s="37"/>
      <c r="G191" s="38"/>
      <c r="H191" s="38"/>
      <c r="I191" s="37"/>
      <c r="J191" s="38"/>
      <c r="K191" s="37"/>
      <c r="L191" s="37"/>
      <c r="M191" s="37"/>
      <c r="N191" s="37"/>
      <c r="O191" s="37"/>
      <c r="P191" s="37"/>
      <c r="Q191" s="37"/>
      <c r="R191" s="37"/>
      <c r="S191" s="37"/>
      <c r="T191" s="37"/>
      <c r="U191" s="37"/>
      <c r="V191" s="37"/>
      <c r="W191" s="37"/>
      <c r="X191" s="36" t="str">
        <f aca="false">IF($A191="","",TRIM($B$4&amp;" "&amp;$D$4))</f>
        <v/>
      </c>
      <c r="Y191" s="37"/>
      <c r="Z191" s="38"/>
      <c r="AA191" s="37"/>
      <c r="AB191" s="39" t="str">
        <f aca="false">IFERROR(IF(COUNTA($B191:$W191)+COUNTA($Y191:$AA191)=0,"",IF(A191="","① 条目ID未生成(先在顶栏填学号与编号)",IF(COUNTIF($A$8:$A$207,A191)&gt;1,"① 条目ID重复",IF(B191="","② 缺文件名称",IF(D191="","④ 缺位阶",IF(E191="","⑤ 缺制定区域",IF(NOT(ISNUMBER(H191)),"⑧ 施行日期须为日期格式 YYYY-MM-DD",IF(AND(I191&lt;&gt;"现行有效",I191&lt;&gt;"",J191=""),"⑩ 非现行有效须填失效/修订日期",IF(AND(ISNUMBER(J191),ISNUMBER(H191),J191&lt;=H191),"⑩ 失效日期须晚于施行日期",IF(K191="","⑪ 缺主题标签(主)",IF(AND(L191&lt;&gt;"",L191=K191),"⑫ 次标签不得与主标签相同",IF(AND(ISERROR(SEARCH("条",M191)),ISERROR(SEARCH("段",M191)),ISERROR(SEARCH("项",M191))),"⑬ 条文定位须到条/款/项或段",IF(OR(N191="",O191="",P191="",Q191=""),"⑭-⑰ 五要素未填全",IF(LEN(Q191)&gt;120,"⑰ 行为模式内容超120字,请再概括",IF(S191="","⑲ 缺原文摘录",IF(LEN(S191)&gt;200,"⑲ 原文摘录超200字,说明条文选得太大",IF(AND(E191="国家",U191=""),"㉑ 国家层须填央地权限配置",IF(AND(E191="国家",V191&lt;&gt;""),"㉒ 国家层不填地方自主权类型",IF(AND(E191&lt;&gt;"国家",V191=""),"㉒ 地方层须填地方自主权类型",IF(AND(E191&lt;&gt;"国家",U191&lt;&gt;""),"㉑ 地方层不填央地权限配置",IF(W191="","㉓ 缺核实来源",IF(X191="","㉔ 缺录入人",IF(Y191="","㉕ 缺版本号","✔ 通过基础校验"))))))))))))))))))))))),"⚠ 自检公式受损(勿用剪切移动单元格),请告知老师修复")</f>
        <v/>
      </c>
    </row>
    <row r="192" customFormat="false" ht="30" hidden="false" customHeight="true" outlineLevel="0" collapsed="false">
      <c r="A192" s="36" t="str">
        <f aca="false">IF($D$4="","",IF(COUNTA($B192:$W192)+COUNTA($Y192:$AA192)=0,"",$D$4&amp;"-"&amp;TEXT(ROW()-7,"000")))</f>
        <v/>
      </c>
      <c r="B192" s="37"/>
      <c r="C192" s="37"/>
      <c r="D192" s="37"/>
      <c r="E192" s="37"/>
      <c r="F192" s="37"/>
      <c r="G192" s="38"/>
      <c r="H192" s="38"/>
      <c r="I192" s="37"/>
      <c r="J192" s="38"/>
      <c r="K192" s="37"/>
      <c r="L192" s="37"/>
      <c r="M192" s="37"/>
      <c r="N192" s="37"/>
      <c r="O192" s="37"/>
      <c r="P192" s="37"/>
      <c r="Q192" s="37"/>
      <c r="R192" s="37"/>
      <c r="S192" s="37"/>
      <c r="T192" s="37"/>
      <c r="U192" s="37"/>
      <c r="V192" s="37"/>
      <c r="W192" s="37"/>
      <c r="X192" s="36" t="str">
        <f aca="false">IF($A192="","",TRIM($B$4&amp;" "&amp;$D$4))</f>
        <v/>
      </c>
      <c r="Y192" s="37"/>
      <c r="Z192" s="38"/>
      <c r="AA192" s="37"/>
      <c r="AB192" s="39" t="str">
        <f aca="false">IFERROR(IF(COUNTA($B192:$W192)+COUNTA($Y192:$AA192)=0,"",IF(A192="","① 条目ID未生成(先在顶栏填学号与编号)",IF(COUNTIF($A$8:$A$207,A192)&gt;1,"① 条目ID重复",IF(B192="","② 缺文件名称",IF(D192="","④ 缺位阶",IF(E192="","⑤ 缺制定区域",IF(NOT(ISNUMBER(H192)),"⑧ 施行日期须为日期格式 YYYY-MM-DD",IF(AND(I192&lt;&gt;"现行有效",I192&lt;&gt;"",J192=""),"⑩ 非现行有效须填失效/修订日期",IF(AND(ISNUMBER(J192),ISNUMBER(H192),J192&lt;=H192),"⑩ 失效日期须晚于施行日期",IF(K192="","⑪ 缺主题标签(主)",IF(AND(L192&lt;&gt;"",L192=K192),"⑫ 次标签不得与主标签相同",IF(AND(ISERROR(SEARCH("条",M192)),ISERROR(SEARCH("段",M192)),ISERROR(SEARCH("项",M192))),"⑬ 条文定位须到条/款/项或段",IF(OR(N192="",O192="",P192="",Q192=""),"⑭-⑰ 五要素未填全",IF(LEN(Q192)&gt;120,"⑰ 行为模式内容超120字,请再概括",IF(S192="","⑲ 缺原文摘录",IF(LEN(S192)&gt;200,"⑲ 原文摘录超200字,说明条文选得太大",IF(AND(E192="国家",U192=""),"㉑ 国家层须填央地权限配置",IF(AND(E192="国家",V192&lt;&gt;""),"㉒ 国家层不填地方自主权类型",IF(AND(E192&lt;&gt;"国家",V192=""),"㉒ 地方层须填地方自主权类型",IF(AND(E192&lt;&gt;"国家",U192&lt;&gt;""),"㉑ 地方层不填央地权限配置",IF(W192="","㉓ 缺核实来源",IF(X192="","㉔ 缺录入人",IF(Y192="","㉕ 缺版本号","✔ 通过基础校验"))))))))))))))))))))))),"⚠ 自检公式受损(勿用剪切移动单元格),请告知老师修复")</f>
        <v/>
      </c>
    </row>
    <row r="193" customFormat="false" ht="30" hidden="false" customHeight="true" outlineLevel="0" collapsed="false">
      <c r="A193" s="36" t="str">
        <f aca="false">IF($D$4="","",IF(COUNTA($B193:$W193)+COUNTA($Y193:$AA193)=0,"",$D$4&amp;"-"&amp;TEXT(ROW()-7,"000")))</f>
        <v/>
      </c>
      <c r="B193" s="37"/>
      <c r="C193" s="37"/>
      <c r="D193" s="37"/>
      <c r="E193" s="37"/>
      <c r="F193" s="37"/>
      <c r="G193" s="38"/>
      <c r="H193" s="38"/>
      <c r="I193" s="37"/>
      <c r="J193" s="38"/>
      <c r="K193" s="37"/>
      <c r="L193" s="37"/>
      <c r="M193" s="37"/>
      <c r="N193" s="37"/>
      <c r="O193" s="37"/>
      <c r="P193" s="37"/>
      <c r="Q193" s="37"/>
      <c r="R193" s="37"/>
      <c r="S193" s="37"/>
      <c r="T193" s="37"/>
      <c r="U193" s="37"/>
      <c r="V193" s="37"/>
      <c r="W193" s="37"/>
      <c r="X193" s="36" t="str">
        <f aca="false">IF($A193="","",TRIM($B$4&amp;" "&amp;$D$4))</f>
        <v/>
      </c>
      <c r="Y193" s="37"/>
      <c r="Z193" s="38"/>
      <c r="AA193" s="37"/>
      <c r="AB193" s="39" t="str">
        <f aca="false">IFERROR(IF(COUNTA($B193:$W193)+COUNTA($Y193:$AA193)=0,"",IF(A193="","① 条目ID未生成(先在顶栏填学号与编号)",IF(COUNTIF($A$8:$A$207,A193)&gt;1,"① 条目ID重复",IF(B193="","② 缺文件名称",IF(D193="","④ 缺位阶",IF(E193="","⑤ 缺制定区域",IF(NOT(ISNUMBER(H193)),"⑧ 施行日期须为日期格式 YYYY-MM-DD",IF(AND(I193&lt;&gt;"现行有效",I193&lt;&gt;"",J193=""),"⑩ 非现行有效须填失效/修订日期",IF(AND(ISNUMBER(J193),ISNUMBER(H193),J193&lt;=H193),"⑩ 失效日期须晚于施行日期",IF(K193="","⑪ 缺主题标签(主)",IF(AND(L193&lt;&gt;"",L193=K193),"⑫ 次标签不得与主标签相同",IF(AND(ISERROR(SEARCH("条",M193)),ISERROR(SEARCH("段",M193)),ISERROR(SEARCH("项",M193))),"⑬ 条文定位须到条/款/项或段",IF(OR(N193="",O193="",P193="",Q193=""),"⑭-⑰ 五要素未填全",IF(LEN(Q193)&gt;120,"⑰ 行为模式内容超120字,请再概括",IF(S193="","⑲ 缺原文摘录",IF(LEN(S193)&gt;200,"⑲ 原文摘录超200字,说明条文选得太大",IF(AND(E193="国家",U193=""),"㉑ 国家层须填央地权限配置",IF(AND(E193="国家",V193&lt;&gt;""),"㉒ 国家层不填地方自主权类型",IF(AND(E193&lt;&gt;"国家",V193=""),"㉒ 地方层须填地方自主权类型",IF(AND(E193&lt;&gt;"国家",U193&lt;&gt;""),"㉑ 地方层不填央地权限配置",IF(W193="","㉓ 缺核实来源",IF(X193="","㉔ 缺录入人",IF(Y193="","㉕ 缺版本号","✔ 通过基础校验"))))))))))))))))))))))),"⚠ 自检公式受损(勿用剪切移动单元格),请告知老师修复")</f>
        <v/>
      </c>
    </row>
    <row r="194" customFormat="false" ht="30" hidden="false" customHeight="true" outlineLevel="0" collapsed="false">
      <c r="A194" s="36" t="str">
        <f aca="false">IF($D$4="","",IF(COUNTA($B194:$W194)+COUNTA($Y194:$AA194)=0,"",$D$4&amp;"-"&amp;TEXT(ROW()-7,"000")))</f>
        <v/>
      </c>
      <c r="B194" s="37"/>
      <c r="C194" s="37"/>
      <c r="D194" s="37"/>
      <c r="E194" s="37"/>
      <c r="F194" s="37"/>
      <c r="G194" s="38"/>
      <c r="H194" s="38"/>
      <c r="I194" s="37"/>
      <c r="J194" s="38"/>
      <c r="K194" s="37"/>
      <c r="L194" s="37"/>
      <c r="M194" s="37"/>
      <c r="N194" s="37"/>
      <c r="O194" s="37"/>
      <c r="P194" s="37"/>
      <c r="Q194" s="37"/>
      <c r="R194" s="37"/>
      <c r="S194" s="37"/>
      <c r="T194" s="37"/>
      <c r="U194" s="37"/>
      <c r="V194" s="37"/>
      <c r="W194" s="37"/>
      <c r="X194" s="36" t="str">
        <f aca="false">IF($A194="","",TRIM($B$4&amp;" "&amp;$D$4))</f>
        <v/>
      </c>
      <c r="Y194" s="37"/>
      <c r="Z194" s="38"/>
      <c r="AA194" s="37"/>
      <c r="AB194" s="39" t="str">
        <f aca="false">IFERROR(IF(COUNTA($B194:$W194)+COUNTA($Y194:$AA194)=0,"",IF(A194="","① 条目ID未生成(先在顶栏填学号与编号)",IF(COUNTIF($A$8:$A$207,A194)&gt;1,"① 条目ID重复",IF(B194="","② 缺文件名称",IF(D194="","④ 缺位阶",IF(E194="","⑤ 缺制定区域",IF(NOT(ISNUMBER(H194)),"⑧ 施行日期须为日期格式 YYYY-MM-DD",IF(AND(I194&lt;&gt;"现行有效",I194&lt;&gt;"",J194=""),"⑩ 非现行有效须填失效/修订日期",IF(AND(ISNUMBER(J194),ISNUMBER(H194),J194&lt;=H194),"⑩ 失效日期须晚于施行日期",IF(K194="","⑪ 缺主题标签(主)",IF(AND(L194&lt;&gt;"",L194=K194),"⑫ 次标签不得与主标签相同",IF(AND(ISERROR(SEARCH("条",M194)),ISERROR(SEARCH("段",M194)),ISERROR(SEARCH("项",M194))),"⑬ 条文定位须到条/款/项或段",IF(OR(N194="",O194="",P194="",Q194=""),"⑭-⑰ 五要素未填全",IF(LEN(Q194)&gt;120,"⑰ 行为模式内容超120字,请再概括",IF(S194="","⑲ 缺原文摘录",IF(LEN(S194)&gt;200,"⑲ 原文摘录超200字,说明条文选得太大",IF(AND(E194="国家",U194=""),"㉑ 国家层须填央地权限配置",IF(AND(E194="国家",V194&lt;&gt;""),"㉒ 国家层不填地方自主权类型",IF(AND(E194&lt;&gt;"国家",V194=""),"㉒ 地方层须填地方自主权类型",IF(AND(E194&lt;&gt;"国家",U194&lt;&gt;""),"㉑ 地方层不填央地权限配置",IF(W194="","㉓ 缺核实来源",IF(X194="","㉔ 缺录入人",IF(Y194="","㉕ 缺版本号","✔ 通过基础校验"))))))))))))))))))))))),"⚠ 自检公式受损(勿用剪切移动单元格),请告知老师修复")</f>
        <v/>
      </c>
    </row>
    <row r="195" customFormat="false" ht="30" hidden="false" customHeight="true" outlineLevel="0" collapsed="false">
      <c r="A195" s="36" t="str">
        <f aca="false">IF($D$4="","",IF(COUNTA($B195:$W195)+COUNTA($Y195:$AA195)=0,"",$D$4&amp;"-"&amp;TEXT(ROW()-7,"000")))</f>
        <v/>
      </c>
      <c r="B195" s="37"/>
      <c r="C195" s="37"/>
      <c r="D195" s="37"/>
      <c r="E195" s="37"/>
      <c r="F195" s="37"/>
      <c r="G195" s="38"/>
      <c r="H195" s="38"/>
      <c r="I195" s="37"/>
      <c r="J195" s="38"/>
      <c r="K195" s="37"/>
      <c r="L195" s="37"/>
      <c r="M195" s="37"/>
      <c r="N195" s="37"/>
      <c r="O195" s="37"/>
      <c r="P195" s="37"/>
      <c r="Q195" s="37"/>
      <c r="R195" s="37"/>
      <c r="S195" s="37"/>
      <c r="T195" s="37"/>
      <c r="U195" s="37"/>
      <c r="V195" s="37"/>
      <c r="W195" s="37"/>
      <c r="X195" s="36" t="str">
        <f aca="false">IF($A195="","",TRIM($B$4&amp;" "&amp;$D$4))</f>
        <v/>
      </c>
      <c r="Y195" s="37"/>
      <c r="Z195" s="38"/>
      <c r="AA195" s="37"/>
      <c r="AB195" s="39" t="str">
        <f aca="false">IFERROR(IF(COUNTA($B195:$W195)+COUNTA($Y195:$AA195)=0,"",IF(A195="","① 条目ID未生成(先在顶栏填学号与编号)",IF(COUNTIF($A$8:$A$207,A195)&gt;1,"① 条目ID重复",IF(B195="","② 缺文件名称",IF(D195="","④ 缺位阶",IF(E195="","⑤ 缺制定区域",IF(NOT(ISNUMBER(H195)),"⑧ 施行日期须为日期格式 YYYY-MM-DD",IF(AND(I195&lt;&gt;"现行有效",I195&lt;&gt;"",J195=""),"⑩ 非现行有效须填失效/修订日期",IF(AND(ISNUMBER(J195),ISNUMBER(H195),J195&lt;=H195),"⑩ 失效日期须晚于施行日期",IF(K195="","⑪ 缺主题标签(主)",IF(AND(L195&lt;&gt;"",L195=K195),"⑫ 次标签不得与主标签相同",IF(AND(ISERROR(SEARCH("条",M195)),ISERROR(SEARCH("段",M195)),ISERROR(SEARCH("项",M195))),"⑬ 条文定位须到条/款/项或段",IF(OR(N195="",O195="",P195="",Q195=""),"⑭-⑰ 五要素未填全",IF(LEN(Q195)&gt;120,"⑰ 行为模式内容超120字,请再概括",IF(S195="","⑲ 缺原文摘录",IF(LEN(S195)&gt;200,"⑲ 原文摘录超200字,说明条文选得太大",IF(AND(E195="国家",U195=""),"㉑ 国家层须填央地权限配置",IF(AND(E195="国家",V195&lt;&gt;""),"㉒ 国家层不填地方自主权类型",IF(AND(E195&lt;&gt;"国家",V195=""),"㉒ 地方层须填地方自主权类型",IF(AND(E195&lt;&gt;"国家",U195&lt;&gt;""),"㉑ 地方层不填央地权限配置",IF(W195="","㉓ 缺核实来源",IF(X195="","㉔ 缺录入人",IF(Y195="","㉕ 缺版本号","✔ 通过基础校验"))))))))))))))))))))))),"⚠ 自检公式受损(勿用剪切移动单元格),请告知老师修复")</f>
        <v/>
      </c>
    </row>
    <row r="196" customFormat="false" ht="30" hidden="false" customHeight="true" outlineLevel="0" collapsed="false">
      <c r="A196" s="36" t="str">
        <f aca="false">IF($D$4="","",IF(COUNTA($B196:$W196)+COUNTA($Y196:$AA196)=0,"",$D$4&amp;"-"&amp;TEXT(ROW()-7,"000")))</f>
        <v/>
      </c>
      <c r="B196" s="37"/>
      <c r="C196" s="37"/>
      <c r="D196" s="37"/>
      <c r="E196" s="37"/>
      <c r="F196" s="37"/>
      <c r="G196" s="38"/>
      <c r="H196" s="38"/>
      <c r="I196" s="37"/>
      <c r="J196" s="38"/>
      <c r="K196" s="37"/>
      <c r="L196" s="37"/>
      <c r="M196" s="37"/>
      <c r="N196" s="37"/>
      <c r="O196" s="37"/>
      <c r="P196" s="37"/>
      <c r="Q196" s="37"/>
      <c r="R196" s="37"/>
      <c r="S196" s="37"/>
      <c r="T196" s="37"/>
      <c r="U196" s="37"/>
      <c r="V196" s="37"/>
      <c r="W196" s="37"/>
      <c r="X196" s="36" t="str">
        <f aca="false">IF($A196="","",TRIM($B$4&amp;" "&amp;$D$4))</f>
        <v/>
      </c>
      <c r="Y196" s="37"/>
      <c r="Z196" s="38"/>
      <c r="AA196" s="37"/>
      <c r="AB196" s="39" t="str">
        <f aca="false">IFERROR(IF(COUNTA($B196:$W196)+COUNTA($Y196:$AA196)=0,"",IF(A196="","① 条目ID未生成(先在顶栏填学号与编号)",IF(COUNTIF($A$8:$A$207,A196)&gt;1,"① 条目ID重复",IF(B196="","② 缺文件名称",IF(D196="","④ 缺位阶",IF(E196="","⑤ 缺制定区域",IF(NOT(ISNUMBER(H196)),"⑧ 施行日期须为日期格式 YYYY-MM-DD",IF(AND(I196&lt;&gt;"现行有效",I196&lt;&gt;"",J196=""),"⑩ 非现行有效须填失效/修订日期",IF(AND(ISNUMBER(J196),ISNUMBER(H196),J196&lt;=H196),"⑩ 失效日期须晚于施行日期",IF(K196="","⑪ 缺主题标签(主)",IF(AND(L196&lt;&gt;"",L196=K196),"⑫ 次标签不得与主标签相同",IF(AND(ISERROR(SEARCH("条",M196)),ISERROR(SEARCH("段",M196)),ISERROR(SEARCH("项",M196))),"⑬ 条文定位须到条/款/项或段",IF(OR(N196="",O196="",P196="",Q196=""),"⑭-⑰ 五要素未填全",IF(LEN(Q196)&gt;120,"⑰ 行为模式内容超120字,请再概括",IF(S196="","⑲ 缺原文摘录",IF(LEN(S196)&gt;200,"⑲ 原文摘录超200字,说明条文选得太大",IF(AND(E196="国家",U196=""),"㉑ 国家层须填央地权限配置",IF(AND(E196="国家",V196&lt;&gt;""),"㉒ 国家层不填地方自主权类型",IF(AND(E196&lt;&gt;"国家",V196=""),"㉒ 地方层须填地方自主权类型",IF(AND(E196&lt;&gt;"国家",U196&lt;&gt;""),"㉑ 地方层不填央地权限配置",IF(W196="","㉓ 缺核实来源",IF(X196="","㉔ 缺录入人",IF(Y196="","㉕ 缺版本号","✔ 通过基础校验"))))))))))))))))))))))),"⚠ 自检公式受损(勿用剪切移动单元格),请告知老师修复")</f>
        <v/>
      </c>
    </row>
    <row r="197" customFormat="false" ht="30" hidden="false" customHeight="true" outlineLevel="0" collapsed="false">
      <c r="A197" s="36" t="str">
        <f aca="false">IF($D$4="","",IF(COUNTA($B197:$W197)+COUNTA($Y197:$AA197)=0,"",$D$4&amp;"-"&amp;TEXT(ROW()-7,"000")))</f>
        <v/>
      </c>
      <c r="B197" s="37"/>
      <c r="C197" s="37"/>
      <c r="D197" s="37"/>
      <c r="E197" s="37"/>
      <c r="F197" s="37"/>
      <c r="G197" s="38"/>
      <c r="H197" s="38"/>
      <c r="I197" s="37"/>
      <c r="J197" s="38"/>
      <c r="K197" s="37"/>
      <c r="L197" s="37"/>
      <c r="M197" s="37"/>
      <c r="N197" s="37"/>
      <c r="O197" s="37"/>
      <c r="P197" s="37"/>
      <c r="Q197" s="37"/>
      <c r="R197" s="37"/>
      <c r="S197" s="37"/>
      <c r="T197" s="37"/>
      <c r="U197" s="37"/>
      <c r="V197" s="37"/>
      <c r="W197" s="37"/>
      <c r="X197" s="36" t="str">
        <f aca="false">IF($A197="","",TRIM($B$4&amp;" "&amp;$D$4))</f>
        <v/>
      </c>
      <c r="Y197" s="37"/>
      <c r="Z197" s="38"/>
      <c r="AA197" s="37"/>
      <c r="AB197" s="39" t="str">
        <f aca="false">IFERROR(IF(COUNTA($B197:$W197)+COUNTA($Y197:$AA197)=0,"",IF(A197="","① 条目ID未生成(先在顶栏填学号与编号)",IF(COUNTIF($A$8:$A$207,A197)&gt;1,"① 条目ID重复",IF(B197="","② 缺文件名称",IF(D197="","④ 缺位阶",IF(E197="","⑤ 缺制定区域",IF(NOT(ISNUMBER(H197)),"⑧ 施行日期须为日期格式 YYYY-MM-DD",IF(AND(I197&lt;&gt;"现行有效",I197&lt;&gt;"",J197=""),"⑩ 非现行有效须填失效/修订日期",IF(AND(ISNUMBER(J197),ISNUMBER(H197),J197&lt;=H197),"⑩ 失效日期须晚于施行日期",IF(K197="","⑪ 缺主题标签(主)",IF(AND(L197&lt;&gt;"",L197=K197),"⑫ 次标签不得与主标签相同",IF(AND(ISERROR(SEARCH("条",M197)),ISERROR(SEARCH("段",M197)),ISERROR(SEARCH("项",M197))),"⑬ 条文定位须到条/款/项或段",IF(OR(N197="",O197="",P197="",Q197=""),"⑭-⑰ 五要素未填全",IF(LEN(Q197)&gt;120,"⑰ 行为模式内容超120字,请再概括",IF(S197="","⑲ 缺原文摘录",IF(LEN(S197)&gt;200,"⑲ 原文摘录超200字,说明条文选得太大",IF(AND(E197="国家",U197=""),"㉑ 国家层须填央地权限配置",IF(AND(E197="国家",V197&lt;&gt;""),"㉒ 国家层不填地方自主权类型",IF(AND(E197&lt;&gt;"国家",V197=""),"㉒ 地方层须填地方自主权类型",IF(AND(E197&lt;&gt;"国家",U197&lt;&gt;""),"㉑ 地方层不填央地权限配置",IF(W197="","㉓ 缺核实来源",IF(X197="","㉔ 缺录入人",IF(Y197="","㉕ 缺版本号","✔ 通过基础校验"))))))))))))))))))))))),"⚠ 自检公式受损(勿用剪切移动单元格),请告知老师修复")</f>
        <v/>
      </c>
    </row>
    <row r="198" customFormat="false" ht="30" hidden="false" customHeight="true" outlineLevel="0" collapsed="false">
      <c r="A198" s="36" t="str">
        <f aca="false">IF($D$4="","",IF(COUNTA($B198:$W198)+COUNTA($Y198:$AA198)=0,"",$D$4&amp;"-"&amp;TEXT(ROW()-7,"000")))</f>
        <v/>
      </c>
      <c r="B198" s="37"/>
      <c r="C198" s="37"/>
      <c r="D198" s="37"/>
      <c r="E198" s="37"/>
      <c r="F198" s="37"/>
      <c r="G198" s="38"/>
      <c r="H198" s="38"/>
      <c r="I198" s="37"/>
      <c r="J198" s="38"/>
      <c r="K198" s="37"/>
      <c r="L198" s="37"/>
      <c r="M198" s="37"/>
      <c r="N198" s="37"/>
      <c r="O198" s="37"/>
      <c r="P198" s="37"/>
      <c r="Q198" s="37"/>
      <c r="R198" s="37"/>
      <c r="S198" s="37"/>
      <c r="T198" s="37"/>
      <c r="U198" s="37"/>
      <c r="V198" s="37"/>
      <c r="W198" s="37"/>
      <c r="X198" s="36" t="str">
        <f aca="false">IF($A198="","",TRIM($B$4&amp;" "&amp;$D$4))</f>
        <v/>
      </c>
      <c r="Y198" s="37"/>
      <c r="Z198" s="38"/>
      <c r="AA198" s="37"/>
      <c r="AB198" s="39" t="str">
        <f aca="false">IFERROR(IF(COUNTA($B198:$W198)+COUNTA($Y198:$AA198)=0,"",IF(A198="","① 条目ID未生成(先在顶栏填学号与编号)",IF(COUNTIF($A$8:$A$207,A198)&gt;1,"① 条目ID重复",IF(B198="","② 缺文件名称",IF(D198="","④ 缺位阶",IF(E198="","⑤ 缺制定区域",IF(NOT(ISNUMBER(H198)),"⑧ 施行日期须为日期格式 YYYY-MM-DD",IF(AND(I198&lt;&gt;"现行有效",I198&lt;&gt;"",J198=""),"⑩ 非现行有效须填失效/修订日期",IF(AND(ISNUMBER(J198),ISNUMBER(H198),J198&lt;=H198),"⑩ 失效日期须晚于施行日期",IF(K198="","⑪ 缺主题标签(主)",IF(AND(L198&lt;&gt;"",L198=K198),"⑫ 次标签不得与主标签相同",IF(AND(ISERROR(SEARCH("条",M198)),ISERROR(SEARCH("段",M198)),ISERROR(SEARCH("项",M198))),"⑬ 条文定位须到条/款/项或段",IF(OR(N198="",O198="",P198="",Q198=""),"⑭-⑰ 五要素未填全",IF(LEN(Q198)&gt;120,"⑰ 行为模式内容超120字,请再概括",IF(S198="","⑲ 缺原文摘录",IF(LEN(S198)&gt;200,"⑲ 原文摘录超200字,说明条文选得太大",IF(AND(E198="国家",U198=""),"㉑ 国家层须填央地权限配置",IF(AND(E198="国家",V198&lt;&gt;""),"㉒ 国家层不填地方自主权类型",IF(AND(E198&lt;&gt;"国家",V198=""),"㉒ 地方层须填地方自主权类型",IF(AND(E198&lt;&gt;"国家",U198&lt;&gt;""),"㉑ 地方层不填央地权限配置",IF(W198="","㉓ 缺核实来源",IF(X198="","㉔ 缺录入人",IF(Y198="","㉕ 缺版本号","✔ 通过基础校验"))))))))))))))))))))))),"⚠ 自检公式受损(勿用剪切移动单元格),请告知老师修复")</f>
        <v/>
      </c>
    </row>
    <row r="199" customFormat="false" ht="30" hidden="false" customHeight="true" outlineLevel="0" collapsed="false">
      <c r="A199" s="36" t="str">
        <f aca="false">IF($D$4="","",IF(COUNTA($B199:$W199)+COUNTA($Y199:$AA199)=0,"",$D$4&amp;"-"&amp;TEXT(ROW()-7,"000")))</f>
        <v/>
      </c>
      <c r="B199" s="37"/>
      <c r="C199" s="37"/>
      <c r="D199" s="37"/>
      <c r="E199" s="37"/>
      <c r="F199" s="37"/>
      <c r="G199" s="38"/>
      <c r="H199" s="38"/>
      <c r="I199" s="37"/>
      <c r="J199" s="38"/>
      <c r="K199" s="37"/>
      <c r="L199" s="37"/>
      <c r="M199" s="37"/>
      <c r="N199" s="37"/>
      <c r="O199" s="37"/>
      <c r="P199" s="37"/>
      <c r="Q199" s="37"/>
      <c r="R199" s="37"/>
      <c r="S199" s="37"/>
      <c r="T199" s="37"/>
      <c r="U199" s="37"/>
      <c r="V199" s="37"/>
      <c r="W199" s="37"/>
      <c r="X199" s="36" t="str">
        <f aca="false">IF($A199="","",TRIM($B$4&amp;" "&amp;$D$4))</f>
        <v/>
      </c>
      <c r="Y199" s="37"/>
      <c r="Z199" s="38"/>
      <c r="AA199" s="37"/>
      <c r="AB199" s="39" t="str">
        <f aca="false">IFERROR(IF(COUNTA($B199:$W199)+COUNTA($Y199:$AA199)=0,"",IF(A199="","① 条目ID未生成(先在顶栏填学号与编号)",IF(COUNTIF($A$8:$A$207,A199)&gt;1,"① 条目ID重复",IF(B199="","② 缺文件名称",IF(D199="","④ 缺位阶",IF(E199="","⑤ 缺制定区域",IF(NOT(ISNUMBER(H199)),"⑧ 施行日期须为日期格式 YYYY-MM-DD",IF(AND(I199&lt;&gt;"现行有效",I199&lt;&gt;"",J199=""),"⑩ 非现行有效须填失效/修订日期",IF(AND(ISNUMBER(J199),ISNUMBER(H199),J199&lt;=H199),"⑩ 失效日期须晚于施行日期",IF(K199="","⑪ 缺主题标签(主)",IF(AND(L199&lt;&gt;"",L199=K199),"⑫ 次标签不得与主标签相同",IF(AND(ISERROR(SEARCH("条",M199)),ISERROR(SEARCH("段",M199)),ISERROR(SEARCH("项",M199))),"⑬ 条文定位须到条/款/项或段",IF(OR(N199="",O199="",P199="",Q199=""),"⑭-⑰ 五要素未填全",IF(LEN(Q199)&gt;120,"⑰ 行为模式内容超120字,请再概括",IF(S199="","⑲ 缺原文摘录",IF(LEN(S199)&gt;200,"⑲ 原文摘录超200字,说明条文选得太大",IF(AND(E199="国家",U199=""),"㉑ 国家层须填央地权限配置",IF(AND(E199="国家",V199&lt;&gt;""),"㉒ 国家层不填地方自主权类型",IF(AND(E199&lt;&gt;"国家",V199=""),"㉒ 地方层须填地方自主权类型",IF(AND(E199&lt;&gt;"国家",U199&lt;&gt;""),"㉑ 地方层不填央地权限配置",IF(W199="","㉓ 缺核实来源",IF(X199="","㉔ 缺录入人",IF(Y199="","㉕ 缺版本号","✔ 通过基础校验"))))))))))))))))))))))),"⚠ 自检公式受损(勿用剪切移动单元格),请告知老师修复")</f>
        <v/>
      </c>
    </row>
    <row r="200" customFormat="false" ht="30" hidden="false" customHeight="true" outlineLevel="0" collapsed="false">
      <c r="A200" s="36" t="str">
        <f aca="false">IF($D$4="","",IF(COUNTA($B200:$W200)+COUNTA($Y200:$AA200)=0,"",$D$4&amp;"-"&amp;TEXT(ROW()-7,"000")))</f>
        <v/>
      </c>
      <c r="B200" s="37"/>
      <c r="C200" s="37"/>
      <c r="D200" s="37"/>
      <c r="E200" s="37"/>
      <c r="F200" s="37"/>
      <c r="G200" s="38"/>
      <c r="H200" s="38"/>
      <c r="I200" s="37"/>
      <c r="J200" s="38"/>
      <c r="K200" s="37"/>
      <c r="L200" s="37"/>
      <c r="M200" s="37"/>
      <c r="N200" s="37"/>
      <c r="O200" s="37"/>
      <c r="P200" s="37"/>
      <c r="Q200" s="37"/>
      <c r="R200" s="37"/>
      <c r="S200" s="37"/>
      <c r="T200" s="37"/>
      <c r="U200" s="37"/>
      <c r="V200" s="37"/>
      <c r="W200" s="37"/>
      <c r="X200" s="36" t="str">
        <f aca="false">IF($A200="","",TRIM($B$4&amp;" "&amp;$D$4))</f>
        <v/>
      </c>
      <c r="Y200" s="37"/>
      <c r="Z200" s="38"/>
      <c r="AA200" s="37"/>
      <c r="AB200" s="39" t="str">
        <f aca="false">IFERROR(IF(COUNTA($B200:$W200)+COUNTA($Y200:$AA200)=0,"",IF(A200="","① 条目ID未生成(先在顶栏填学号与编号)",IF(COUNTIF($A$8:$A$207,A200)&gt;1,"① 条目ID重复",IF(B200="","② 缺文件名称",IF(D200="","④ 缺位阶",IF(E200="","⑤ 缺制定区域",IF(NOT(ISNUMBER(H200)),"⑧ 施行日期须为日期格式 YYYY-MM-DD",IF(AND(I200&lt;&gt;"现行有效",I200&lt;&gt;"",J200=""),"⑩ 非现行有效须填失效/修订日期",IF(AND(ISNUMBER(J200),ISNUMBER(H200),J200&lt;=H200),"⑩ 失效日期须晚于施行日期",IF(K200="","⑪ 缺主题标签(主)",IF(AND(L200&lt;&gt;"",L200=K200),"⑫ 次标签不得与主标签相同",IF(AND(ISERROR(SEARCH("条",M200)),ISERROR(SEARCH("段",M200)),ISERROR(SEARCH("项",M200))),"⑬ 条文定位须到条/款/项或段",IF(OR(N200="",O200="",P200="",Q200=""),"⑭-⑰ 五要素未填全",IF(LEN(Q200)&gt;120,"⑰ 行为模式内容超120字,请再概括",IF(S200="","⑲ 缺原文摘录",IF(LEN(S200)&gt;200,"⑲ 原文摘录超200字,说明条文选得太大",IF(AND(E200="国家",U200=""),"㉑ 国家层须填央地权限配置",IF(AND(E200="国家",V200&lt;&gt;""),"㉒ 国家层不填地方自主权类型",IF(AND(E200&lt;&gt;"国家",V200=""),"㉒ 地方层须填地方自主权类型",IF(AND(E200&lt;&gt;"国家",U200&lt;&gt;""),"㉑ 地方层不填央地权限配置",IF(W200="","㉓ 缺核实来源",IF(X200="","㉔ 缺录入人",IF(Y200="","㉕ 缺版本号","✔ 通过基础校验"))))))))))))))))))))))),"⚠ 自检公式受损(勿用剪切移动单元格),请告知老师修复")</f>
        <v/>
      </c>
    </row>
    <row r="201" customFormat="false" ht="30" hidden="false" customHeight="true" outlineLevel="0" collapsed="false">
      <c r="A201" s="36" t="str">
        <f aca="false">IF($D$4="","",IF(COUNTA($B201:$W201)+COUNTA($Y201:$AA201)=0,"",$D$4&amp;"-"&amp;TEXT(ROW()-7,"000")))</f>
        <v/>
      </c>
      <c r="B201" s="37"/>
      <c r="C201" s="37"/>
      <c r="D201" s="37"/>
      <c r="E201" s="37"/>
      <c r="F201" s="37"/>
      <c r="G201" s="38"/>
      <c r="H201" s="38"/>
      <c r="I201" s="37"/>
      <c r="J201" s="38"/>
      <c r="K201" s="37"/>
      <c r="L201" s="37"/>
      <c r="M201" s="37"/>
      <c r="N201" s="37"/>
      <c r="O201" s="37"/>
      <c r="P201" s="37"/>
      <c r="Q201" s="37"/>
      <c r="R201" s="37"/>
      <c r="S201" s="37"/>
      <c r="T201" s="37"/>
      <c r="U201" s="37"/>
      <c r="V201" s="37"/>
      <c r="W201" s="37"/>
      <c r="X201" s="36" t="str">
        <f aca="false">IF($A201="","",TRIM($B$4&amp;" "&amp;$D$4))</f>
        <v/>
      </c>
      <c r="Y201" s="37"/>
      <c r="Z201" s="38"/>
      <c r="AA201" s="37"/>
      <c r="AB201" s="39" t="str">
        <f aca="false">IFERROR(IF(COUNTA($B201:$W201)+COUNTA($Y201:$AA201)=0,"",IF(A201="","① 条目ID未生成(先在顶栏填学号与编号)",IF(COUNTIF($A$8:$A$207,A201)&gt;1,"① 条目ID重复",IF(B201="","② 缺文件名称",IF(D201="","④ 缺位阶",IF(E201="","⑤ 缺制定区域",IF(NOT(ISNUMBER(H201)),"⑧ 施行日期须为日期格式 YYYY-MM-DD",IF(AND(I201&lt;&gt;"现行有效",I201&lt;&gt;"",J201=""),"⑩ 非现行有效须填失效/修订日期",IF(AND(ISNUMBER(J201),ISNUMBER(H201),J201&lt;=H201),"⑩ 失效日期须晚于施行日期",IF(K201="","⑪ 缺主题标签(主)",IF(AND(L201&lt;&gt;"",L201=K201),"⑫ 次标签不得与主标签相同",IF(AND(ISERROR(SEARCH("条",M201)),ISERROR(SEARCH("段",M201)),ISERROR(SEARCH("项",M201))),"⑬ 条文定位须到条/款/项或段",IF(OR(N201="",O201="",P201="",Q201=""),"⑭-⑰ 五要素未填全",IF(LEN(Q201)&gt;120,"⑰ 行为模式内容超120字,请再概括",IF(S201="","⑲ 缺原文摘录",IF(LEN(S201)&gt;200,"⑲ 原文摘录超200字,说明条文选得太大",IF(AND(E201="国家",U201=""),"㉑ 国家层须填央地权限配置",IF(AND(E201="国家",V201&lt;&gt;""),"㉒ 国家层不填地方自主权类型",IF(AND(E201&lt;&gt;"国家",V201=""),"㉒ 地方层须填地方自主权类型",IF(AND(E201&lt;&gt;"国家",U201&lt;&gt;""),"㉑ 地方层不填央地权限配置",IF(W201="","㉓ 缺核实来源",IF(X201="","㉔ 缺录入人",IF(Y201="","㉕ 缺版本号","✔ 通过基础校验"))))))))))))))))))))))),"⚠ 自检公式受损(勿用剪切移动单元格),请告知老师修复")</f>
        <v/>
      </c>
    </row>
    <row r="202" customFormat="false" ht="30" hidden="false" customHeight="true" outlineLevel="0" collapsed="false">
      <c r="A202" s="36" t="str">
        <f aca="false">IF($D$4="","",IF(COUNTA($B202:$W202)+COUNTA($Y202:$AA202)=0,"",$D$4&amp;"-"&amp;TEXT(ROW()-7,"000")))</f>
        <v/>
      </c>
      <c r="B202" s="37"/>
      <c r="C202" s="37"/>
      <c r="D202" s="37"/>
      <c r="E202" s="37"/>
      <c r="F202" s="37"/>
      <c r="G202" s="38"/>
      <c r="H202" s="38"/>
      <c r="I202" s="37"/>
      <c r="J202" s="38"/>
      <c r="K202" s="37"/>
      <c r="L202" s="37"/>
      <c r="M202" s="37"/>
      <c r="N202" s="37"/>
      <c r="O202" s="37"/>
      <c r="P202" s="37"/>
      <c r="Q202" s="37"/>
      <c r="R202" s="37"/>
      <c r="S202" s="37"/>
      <c r="T202" s="37"/>
      <c r="U202" s="37"/>
      <c r="V202" s="37"/>
      <c r="W202" s="37"/>
      <c r="X202" s="36" t="str">
        <f aca="false">IF($A202="","",TRIM($B$4&amp;" "&amp;$D$4))</f>
        <v/>
      </c>
      <c r="Y202" s="37"/>
      <c r="Z202" s="38"/>
      <c r="AA202" s="37"/>
      <c r="AB202" s="39" t="str">
        <f aca="false">IFERROR(IF(COUNTA($B202:$W202)+COUNTA($Y202:$AA202)=0,"",IF(A202="","① 条目ID未生成(先在顶栏填学号与编号)",IF(COUNTIF($A$8:$A$207,A202)&gt;1,"① 条目ID重复",IF(B202="","② 缺文件名称",IF(D202="","④ 缺位阶",IF(E202="","⑤ 缺制定区域",IF(NOT(ISNUMBER(H202)),"⑧ 施行日期须为日期格式 YYYY-MM-DD",IF(AND(I202&lt;&gt;"现行有效",I202&lt;&gt;"",J202=""),"⑩ 非现行有效须填失效/修订日期",IF(AND(ISNUMBER(J202),ISNUMBER(H202),J202&lt;=H202),"⑩ 失效日期须晚于施行日期",IF(K202="","⑪ 缺主题标签(主)",IF(AND(L202&lt;&gt;"",L202=K202),"⑫ 次标签不得与主标签相同",IF(AND(ISERROR(SEARCH("条",M202)),ISERROR(SEARCH("段",M202)),ISERROR(SEARCH("项",M202))),"⑬ 条文定位须到条/款/项或段",IF(OR(N202="",O202="",P202="",Q202=""),"⑭-⑰ 五要素未填全",IF(LEN(Q202)&gt;120,"⑰ 行为模式内容超120字,请再概括",IF(S202="","⑲ 缺原文摘录",IF(LEN(S202)&gt;200,"⑲ 原文摘录超200字,说明条文选得太大",IF(AND(E202="国家",U202=""),"㉑ 国家层须填央地权限配置",IF(AND(E202="国家",V202&lt;&gt;""),"㉒ 国家层不填地方自主权类型",IF(AND(E202&lt;&gt;"国家",V202=""),"㉒ 地方层须填地方自主权类型",IF(AND(E202&lt;&gt;"国家",U202&lt;&gt;""),"㉑ 地方层不填央地权限配置",IF(W202="","㉓ 缺核实来源",IF(X202="","㉔ 缺录入人",IF(Y202="","㉕ 缺版本号","✔ 通过基础校验"))))))))))))))))))))))),"⚠ 自检公式受损(勿用剪切移动单元格),请告知老师修复")</f>
        <v/>
      </c>
    </row>
    <row r="203" customFormat="false" ht="30" hidden="false" customHeight="true" outlineLevel="0" collapsed="false">
      <c r="A203" s="36" t="str">
        <f aca="false">IF($D$4="","",IF(COUNTA($B203:$W203)+COUNTA($Y203:$AA203)=0,"",$D$4&amp;"-"&amp;TEXT(ROW()-7,"000")))</f>
        <v/>
      </c>
      <c r="B203" s="37"/>
      <c r="C203" s="37"/>
      <c r="D203" s="37"/>
      <c r="E203" s="37"/>
      <c r="F203" s="37"/>
      <c r="G203" s="38"/>
      <c r="H203" s="38"/>
      <c r="I203" s="37"/>
      <c r="J203" s="38"/>
      <c r="K203" s="37"/>
      <c r="L203" s="37"/>
      <c r="M203" s="37"/>
      <c r="N203" s="37"/>
      <c r="O203" s="37"/>
      <c r="P203" s="37"/>
      <c r="Q203" s="37"/>
      <c r="R203" s="37"/>
      <c r="S203" s="37"/>
      <c r="T203" s="37"/>
      <c r="U203" s="37"/>
      <c r="V203" s="37"/>
      <c r="W203" s="37"/>
      <c r="X203" s="36" t="str">
        <f aca="false">IF($A203="","",TRIM($B$4&amp;" "&amp;$D$4))</f>
        <v/>
      </c>
      <c r="Y203" s="37"/>
      <c r="Z203" s="38"/>
      <c r="AA203" s="37"/>
      <c r="AB203" s="39" t="str">
        <f aca="false">IFERROR(IF(COUNTA($B203:$W203)+COUNTA($Y203:$AA203)=0,"",IF(A203="","① 条目ID未生成(先在顶栏填学号与编号)",IF(COUNTIF($A$8:$A$207,A203)&gt;1,"① 条目ID重复",IF(B203="","② 缺文件名称",IF(D203="","④ 缺位阶",IF(E203="","⑤ 缺制定区域",IF(NOT(ISNUMBER(H203)),"⑧ 施行日期须为日期格式 YYYY-MM-DD",IF(AND(I203&lt;&gt;"现行有效",I203&lt;&gt;"",J203=""),"⑩ 非现行有效须填失效/修订日期",IF(AND(ISNUMBER(J203),ISNUMBER(H203),J203&lt;=H203),"⑩ 失效日期须晚于施行日期",IF(K203="","⑪ 缺主题标签(主)",IF(AND(L203&lt;&gt;"",L203=K203),"⑫ 次标签不得与主标签相同",IF(AND(ISERROR(SEARCH("条",M203)),ISERROR(SEARCH("段",M203)),ISERROR(SEARCH("项",M203))),"⑬ 条文定位须到条/款/项或段",IF(OR(N203="",O203="",P203="",Q203=""),"⑭-⑰ 五要素未填全",IF(LEN(Q203)&gt;120,"⑰ 行为模式内容超120字,请再概括",IF(S203="","⑲ 缺原文摘录",IF(LEN(S203)&gt;200,"⑲ 原文摘录超200字,说明条文选得太大",IF(AND(E203="国家",U203=""),"㉑ 国家层须填央地权限配置",IF(AND(E203="国家",V203&lt;&gt;""),"㉒ 国家层不填地方自主权类型",IF(AND(E203&lt;&gt;"国家",V203=""),"㉒ 地方层须填地方自主权类型",IF(AND(E203&lt;&gt;"国家",U203&lt;&gt;""),"㉑ 地方层不填央地权限配置",IF(W203="","㉓ 缺核实来源",IF(X203="","㉔ 缺录入人",IF(Y203="","㉕ 缺版本号","✔ 通过基础校验"))))))))))))))))))))))),"⚠ 自检公式受损(勿用剪切移动单元格),请告知老师修复")</f>
        <v/>
      </c>
    </row>
    <row r="204" customFormat="false" ht="30" hidden="false" customHeight="true" outlineLevel="0" collapsed="false">
      <c r="A204" s="36" t="str">
        <f aca="false">IF($D$4="","",IF(COUNTA($B204:$W204)+COUNTA($Y204:$AA204)=0,"",$D$4&amp;"-"&amp;TEXT(ROW()-7,"000")))</f>
        <v/>
      </c>
      <c r="B204" s="37"/>
      <c r="C204" s="37"/>
      <c r="D204" s="37"/>
      <c r="E204" s="37"/>
      <c r="F204" s="37"/>
      <c r="G204" s="38"/>
      <c r="H204" s="38"/>
      <c r="I204" s="37"/>
      <c r="J204" s="38"/>
      <c r="K204" s="37"/>
      <c r="L204" s="37"/>
      <c r="M204" s="37"/>
      <c r="N204" s="37"/>
      <c r="O204" s="37"/>
      <c r="P204" s="37"/>
      <c r="Q204" s="37"/>
      <c r="R204" s="37"/>
      <c r="S204" s="37"/>
      <c r="T204" s="37"/>
      <c r="U204" s="37"/>
      <c r="V204" s="37"/>
      <c r="W204" s="37"/>
      <c r="X204" s="36" t="str">
        <f aca="false">IF($A204="","",TRIM($B$4&amp;" "&amp;$D$4))</f>
        <v/>
      </c>
      <c r="Y204" s="37"/>
      <c r="Z204" s="38"/>
      <c r="AA204" s="37"/>
      <c r="AB204" s="39" t="str">
        <f aca="false">IFERROR(IF(COUNTA($B204:$W204)+COUNTA($Y204:$AA204)=0,"",IF(A204="","① 条目ID未生成(先在顶栏填学号与编号)",IF(COUNTIF($A$8:$A$207,A204)&gt;1,"① 条目ID重复",IF(B204="","② 缺文件名称",IF(D204="","④ 缺位阶",IF(E204="","⑤ 缺制定区域",IF(NOT(ISNUMBER(H204)),"⑧ 施行日期须为日期格式 YYYY-MM-DD",IF(AND(I204&lt;&gt;"现行有效",I204&lt;&gt;"",J204=""),"⑩ 非现行有效须填失效/修订日期",IF(AND(ISNUMBER(J204),ISNUMBER(H204),J204&lt;=H204),"⑩ 失效日期须晚于施行日期",IF(K204="","⑪ 缺主题标签(主)",IF(AND(L204&lt;&gt;"",L204=K204),"⑫ 次标签不得与主标签相同",IF(AND(ISERROR(SEARCH("条",M204)),ISERROR(SEARCH("段",M204)),ISERROR(SEARCH("项",M204))),"⑬ 条文定位须到条/款/项或段",IF(OR(N204="",O204="",P204="",Q204=""),"⑭-⑰ 五要素未填全",IF(LEN(Q204)&gt;120,"⑰ 行为模式内容超120字,请再概括",IF(S204="","⑲ 缺原文摘录",IF(LEN(S204)&gt;200,"⑲ 原文摘录超200字,说明条文选得太大",IF(AND(E204="国家",U204=""),"㉑ 国家层须填央地权限配置",IF(AND(E204="国家",V204&lt;&gt;""),"㉒ 国家层不填地方自主权类型",IF(AND(E204&lt;&gt;"国家",V204=""),"㉒ 地方层须填地方自主权类型",IF(AND(E204&lt;&gt;"国家",U204&lt;&gt;""),"㉑ 地方层不填央地权限配置",IF(W204="","㉓ 缺核实来源",IF(X204="","㉔ 缺录入人",IF(Y204="","㉕ 缺版本号","✔ 通过基础校验"))))))))))))))))))))))),"⚠ 自检公式受损(勿用剪切移动单元格),请告知老师修复")</f>
        <v/>
      </c>
    </row>
    <row r="205" customFormat="false" ht="30" hidden="false" customHeight="true" outlineLevel="0" collapsed="false">
      <c r="A205" s="36" t="str">
        <f aca="false">IF($D$4="","",IF(COUNTA($B205:$W205)+COUNTA($Y205:$AA205)=0,"",$D$4&amp;"-"&amp;TEXT(ROW()-7,"000")))</f>
        <v/>
      </c>
      <c r="B205" s="37"/>
      <c r="C205" s="37"/>
      <c r="D205" s="37"/>
      <c r="E205" s="37"/>
      <c r="F205" s="37"/>
      <c r="G205" s="38"/>
      <c r="H205" s="38"/>
      <c r="I205" s="37"/>
      <c r="J205" s="38"/>
      <c r="K205" s="37"/>
      <c r="L205" s="37"/>
      <c r="M205" s="37"/>
      <c r="N205" s="37"/>
      <c r="O205" s="37"/>
      <c r="P205" s="37"/>
      <c r="Q205" s="37"/>
      <c r="R205" s="37"/>
      <c r="S205" s="37"/>
      <c r="T205" s="37"/>
      <c r="U205" s="37"/>
      <c r="V205" s="37"/>
      <c r="W205" s="37"/>
      <c r="X205" s="36" t="str">
        <f aca="false">IF($A205="","",TRIM($B$4&amp;" "&amp;$D$4))</f>
        <v/>
      </c>
      <c r="Y205" s="37"/>
      <c r="Z205" s="38"/>
      <c r="AA205" s="37"/>
      <c r="AB205" s="39" t="str">
        <f aca="false">IFERROR(IF(COUNTA($B205:$W205)+COUNTA($Y205:$AA205)=0,"",IF(A205="","① 条目ID未生成(先在顶栏填学号与编号)",IF(COUNTIF($A$8:$A$207,A205)&gt;1,"① 条目ID重复",IF(B205="","② 缺文件名称",IF(D205="","④ 缺位阶",IF(E205="","⑤ 缺制定区域",IF(NOT(ISNUMBER(H205)),"⑧ 施行日期须为日期格式 YYYY-MM-DD",IF(AND(I205&lt;&gt;"现行有效",I205&lt;&gt;"",J205=""),"⑩ 非现行有效须填失效/修订日期",IF(AND(ISNUMBER(J205),ISNUMBER(H205),J205&lt;=H205),"⑩ 失效日期须晚于施行日期",IF(K205="","⑪ 缺主题标签(主)",IF(AND(L205&lt;&gt;"",L205=K205),"⑫ 次标签不得与主标签相同",IF(AND(ISERROR(SEARCH("条",M205)),ISERROR(SEARCH("段",M205)),ISERROR(SEARCH("项",M205))),"⑬ 条文定位须到条/款/项或段",IF(OR(N205="",O205="",P205="",Q205=""),"⑭-⑰ 五要素未填全",IF(LEN(Q205)&gt;120,"⑰ 行为模式内容超120字,请再概括",IF(S205="","⑲ 缺原文摘录",IF(LEN(S205)&gt;200,"⑲ 原文摘录超200字,说明条文选得太大",IF(AND(E205="国家",U205=""),"㉑ 国家层须填央地权限配置",IF(AND(E205="国家",V205&lt;&gt;""),"㉒ 国家层不填地方自主权类型",IF(AND(E205&lt;&gt;"国家",V205=""),"㉒ 地方层须填地方自主权类型",IF(AND(E205&lt;&gt;"国家",U205&lt;&gt;""),"㉑ 地方层不填央地权限配置",IF(W205="","㉓ 缺核实来源",IF(X205="","㉔ 缺录入人",IF(Y205="","㉕ 缺版本号","✔ 通过基础校验"))))))))))))))))))))))),"⚠ 自检公式受损(勿用剪切移动单元格),请告知老师修复")</f>
        <v/>
      </c>
    </row>
    <row r="206" customFormat="false" ht="30" hidden="false" customHeight="true" outlineLevel="0" collapsed="false">
      <c r="A206" s="36" t="str">
        <f aca="false">IF($D$4="","",IF(COUNTA($B206:$W206)+COUNTA($Y206:$AA206)=0,"",$D$4&amp;"-"&amp;TEXT(ROW()-7,"000")))</f>
        <v/>
      </c>
      <c r="B206" s="37"/>
      <c r="C206" s="37"/>
      <c r="D206" s="37"/>
      <c r="E206" s="37"/>
      <c r="F206" s="37"/>
      <c r="G206" s="38"/>
      <c r="H206" s="38"/>
      <c r="I206" s="37"/>
      <c r="J206" s="38"/>
      <c r="K206" s="37"/>
      <c r="L206" s="37"/>
      <c r="M206" s="37"/>
      <c r="N206" s="37"/>
      <c r="O206" s="37"/>
      <c r="P206" s="37"/>
      <c r="Q206" s="37"/>
      <c r="R206" s="37"/>
      <c r="S206" s="37"/>
      <c r="T206" s="37"/>
      <c r="U206" s="37"/>
      <c r="V206" s="37"/>
      <c r="W206" s="37"/>
      <c r="X206" s="36" t="str">
        <f aca="false">IF($A206="","",TRIM($B$4&amp;" "&amp;$D$4))</f>
        <v/>
      </c>
      <c r="Y206" s="37"/>
      <c r="Z206" s="38"/>
      <c r="AA206" s="37"/>
      <c r="AB206" s="39" t="str">
        <f aca="false">IFERROR(IF(COUNTA($B206:$W206)+COUNTA($Y206:$AA206)=0,"",IF(A206="","① 条目ID未生成(先在顶栏填学号与编号)",IF(COUNTIF($A$8:$A$207,A206)&gt;1,"① 条目ID重复",IF(B206="","② 缺文件名称",IF(D206="","④ 缺位阶",IF(E206="","⑤ 缺制定区域",IF(NOT(ISNUMBER(H206)),"⑧ 施行日期须为日期格式 YYYY-MM-DD",IF(AND(I206&lt;&gt;"现行有效",I206&lt;&gt;"",J206=""),"⑩ 非现行有效须填失效/修订日期",IF(AND(ISNUMBER(J206),ISNUMBER(H206),J206&lt;=H206),"⑩ 失效日期须晚于施行日期",IF(K206="","⑪ 缺主题标签(主)",IF(AND(L206&lt;&gt;"",L206=K206),"⑫ 次标签不得与主标签相同",IF(AND(ISERROR(SEARCH("条",M206)),ISERROR(SEARCH("段",M206)),ISERROR(SEARCH("项",M206))),"⑬ 条文定位须到条/款/项或段",IF(OR(N206="",O206="",P206="",Q206=""),"⑭-⑰ 五要素未填全",IF(LEN(Q206)&gt;120,"⑰ 行为模式内容超120字,请再概括",IF(S206="","⑲ 缺原文摘录",IF(LEN(S206)&gt;200,"⑲ 原文摘录超200字,说明条文选得太大",IF(AND(E206="国家",U206=""),"㉑ 国家层须填央地权限配置",IF(AND(E206="国家",V206&lt;&gt;""),"㉒ 国家层不填地方自主权类型",IF(AND(E206&lt;&gt;"国家",V206=""),"㉒ 地方层须填地方自主权类型",IF(AND(E206&lt;&gt;"国家",U206&lt;&gt;""),"㉑ 地方层不填央地权限配置",IF(W206="","㉓ 缺核实来源",IF(X206="","㉔ 缺录入人",IF(Y206="","㉕ 缺版本号","✔ 通过基础校验"))))))))))))))))))))))),"⚠ 自检公式受损(勿用剪切移动单元格),请告知老师修复")</f>
        <v/>
      </c>
    </row>
    <row r="207" customFormat="false" ht="30" hidden="false" customHeight="true" outlineLevel="0" collapsed="false">
      <c r="A207" s="36" t="str">
        <f aca="false">IF($D$4="","",IF(COUNTA($B207:$W207)+COUNTA($Y207:$AA207)=0,"",$D$4&amp;"-"&amp;TEXT(ROW()-7,"000")))</f>
        <v/>
      </c>
      <c r="B207" s="37"/>
      <c r="C207" s="37"/>
      <c r="D207" s="37"/>
      <c r="E207" s="37"/>
      <c r="F207" s="37"/>
      <c r="G207" s="38"/>
      <c r="H207" s="38"/>
      <c r="I207" s="37"/>
      <c r="J207" s="38"/>
      <c r="K207" s="37"/>
      <c r="L207" s="37"/>
      <c r="M207" s="37"/>
      <c r="N207" s="37"/>
      <c r="O207" s="37"/>
      <c r="P207" s="37"/>
      <c r="Q207" s="37"/>
      <c r="R207" s="37"/>
      <c r="S207" s="37"/>
      <c r="T207" s="37"/>
      <c r="U207" s="37"/>
      <c r="V207" s="37"/>
      <c r="W207" s="37"/>
      <c r="X207" s="36" t="str">
        <f aca="false">IF($A207="","",TRIM($B$4&amp;" "&amp;$D$4))</f>
        <v/>
      </c>
      <c r="Y207" s="37"/>
      <c r="Z207" s="38"/>
      <c r="AA207" s="37"/>
      <c r="AB207" s="39" t="str">
        <f aca="false">IFERROR(IF(COUNTA($B207:$W207)+COUNTA($Y207:$AA207)=0,"",IF(A207="","① 条目ID未生成(先在顶栏填学号与编号)",IF(COUNTIF($A$8:$A$207,A207)&gt;1,"① 条目ID重复",IF(B207="","② 缺文件名称",IF(D207="","④ 缺位阶",IF(E207="","⑤ 缺制定区域",IF(NOT(ISNUMBER(H207)),"⑧ 施行日期须为日期格式 YYYY-MM-DD",IF(AND(I207&lt;&gt;"现行有效",I207&lt;&gt;"",J207=""),"⑩ 非现行有效须填失效/修订日期",IF(AND(ISNUMBER(J207),ISNUMBER(H207),J207&lt;=H207),"⑩ 失效日期须晚于施行日期",IF(K207="","⑪ 缺主题标签(主)",IF(AND(L207&lt;&gt;"",L207=K207),"⑫ 次标签不得与主标签相同",IF(AND(ISERROR(SEARCH("条",M207)),ISERROR(SEARCH("段",M207)),ISERROR(SEARCH("项",M207))),"⑬ 条文定位须到条/款/项或段",IF(OR(N207="",O207="",P207="",Q207=""),"⑭-⑰ 五要素未填全",IF(LEN(Q207)&gt;120,"⑰ 行为模式内容超120字,请再概括",IF(S207="","⑲ 缺原文摘录",IF(LEN(S207)&gt;200,"⑲ 原文摘录超200字,说明条文选得太大",IF(AND(E207="国家",U207=""),"㉑ 国家层须填央地权限配置",IF(AND(E207="国家",V207&lt;&gt;""),"㉒ 国家层不填地方自主权类型",IF(AND(E207&lt;&gt;"国家",V207=""),"㉒ 地方层须填地方自主权类型",IF(AND(E207&lt;&gt;"国家",U207&lt;&gt;""),"㉑ 地方层不填央地权限配置",IF(W207="","㉓ 缺核实来源",IF(X207="","㉔ 缺录入人",IF(Y207="","㉕ 缺版本号","✔ 通过基础校验"))))))))))))))))))))))),"⚠ 自检公式受损(勿用剪切移动单元格),请告知老师修复")</f>
        <v/>
      </c>
    </row>
  </sheetData>
  <sheetProtection sheet="true" formatCells="false" formatColumns="false" formatRows="false"/>
  <conditionalFormatting sqref="B4">
    <cfRule type="expression" priority="2" aboveAverage="0" equalAverage="0" bottom="0" percent="0" rank="0" text="" dxfId="0">
      <formula>$B$4=""</formula>
    </cfRule>
  </conditionalFormatting>
  <conditionalFormatting sqref="D4">
    <cfRule type="expression" priority="3" aboveAverage="0" equalAverage="0" bottom="0" percent="0" rank="0" text="" dxfId="0">
      <formula>$D$4=""</formula>
    </cfRule>
  </conditionalFormatting>
  <conditionalFormatting sqref="AB8:AB207">
    <cfRule type="expression" priority="4" aboveAverage="0" equalAverage="0" bottom="0" percent="0" rank="0" text="" dxfId="1">
      <formula>ISNUMBER(SEARCH("✔",$AB8))</formula>
    </cfRule>
    <cfRule type="expression" priority="5" aboveAverage="0" equalAverage="0" bottom="0" percent="0" rank="0" text="" dxfId="0">
      <formula>AND($AB8&lt;&gt;"",ISERROR(SEARCH("✔",$AB8)))</formula>
    </cfRule>
  </conditionalFormatting>
  <conditionalFormatting sqref="B8:B207">
    <cfRule type="expression" priority="6" aboveAverage="0" equalAverage="0" bottom="0" percent="0" rank="0" text="" dxfId="0">
      <formula>AND($A8&lt;&gt;"",B8="")</formula>
    </cfRule>
  </conditionalFormatting>
  <conditionalFormatting sqref="D8:D207">
    <cfRule type="expression" priority="7" aboveAverage="0" equalAverage="0" bottom="0" percent="0" rank="0" text="" dxfId="0">
      <formula>AND($A8&lt;&gt;"",D8="")</formula>
    </cfRule>
  </conditionalFormatting>
  <conditionalFormatting sqref="E8:E207">
    <cfRule type="expression" priority="8" aboveAverage="0" equalAverage="0" bottom="0" percent="0" rank="0" text="" dxfId="0">
      <formula>AND($A8&lt;&gt;"",E8="")</formula>
    </cfRule>
  </conditionalFormatting>
  <conditionalFormatting sqref="G8:G207">
    <cfRule type="expression" priority="9" aboveAverage="0" equalAverage="0" bottom="0" percent="0" rank="0" text="" dxfId="0">
      <formula>AND($A8&lt;&gt;"",G8="")</formula>
    </cfRule>
  </conditionalFormatting>
  <conditionalFormatting sqref="H8:H207">
    <cfRule type="expression" priority="10" aboveAverage="0" equalAverage="0" bottom="0" percent="0" rank="0" text="" dxfId="0">
      <formula>AND($A8&lt;&gt;"",H8="")</formula>
    </cfRule>
  </conditionalFormatting>
  <conditionalFormatting sqref="K8:K207">
    <cfRule type="expression" priority="11" aboveAverage="0" equalAverage="0" bottom="0" percent="0" rank="0" text="" dxfId="0">
      <formula>AND($A8&lt;&gt;"",K8="")</formula>
    </cfRule>
  </conditionalFormatting>
  <conditionalFormatting sqref="M8:M207">
    <cfRule type="expression" priority="12" aboveAverage="0" equalAverage="0" bottom="0" percent="0" rank="0" text="" dxfId="0">
      <formula>AND($A8&lt;&gt;"",M8="")</formula>
    </cfRule>
  </conditionalFormatting>
  <conditionalFormatting sqref="N8:N207">
    <cfRule type="expression" priority="13" aboveAverage="0" equalAverage="0" bottom="0" percent="0" rank="0" text="" dxfId="0">
      <formula>AND($A8&lt;&gt;"",N8="")</formula>
    </cfRule>
    <cfRule type="expression" priority="14" aboveAverage="0" equalAverage="0" bottom="0" percent="0" rank="0" text="" dxfId="2">
      <formula>AND($A8&lt;&gt;"",N8&lt;&gt;"")</formula>
    </cfRule>
  </conditionalFormatting>
  <conditionalFormatting sqref="O8:O207">
    <cfRule type="expression" priority="15" aboveAverage="0" equalAverage="0" bottom="0" percent="0" rank="0" text="" dxfId="0">
      <formula>AND($A8&lt;&gt;"",O8="")</formula>
    </cfRule>
    <cfRule type="expression" priority="16" aboveAverage="0" equalAverage="0" bottom="0" percent="0" rank="0" text="" dxfId="2">
      <formula>AND($A8&lt;&gt;"",O8&lt;&gt;"")</formula>
    </cfRule>
  </conditionalFormatting>
  <conditionalFormatting sqref="P8:P207">
    <cfRule type="expression" priority="17" aboveAverage="0" equalAverage="0" bottom="0" percent="0" rank="0" text="" dxfId="0">
      <formula>AND($A8&lt;&gt;"",P8="")</formula>
    </cfRule>
    <cfRule type="expression" priority="18" aboveAverage="0" equalAverage="0" bottom="0" percent="0" rank="0" text="" dxfId="2">
      <formula>AND($A8&lt;&gt;"",P8&lt;&gt;"")</formula>
    </cfRule>
  </conditionalFormatting>
  <conditionalFormatting sqref="Q8:Q207">
    <cfRule type="expression" priority="19" aboveAverage="0" equalAverage="0" bottom="0" percent="0" rank="0" text="" dxfId="0">
      <formula>AND($A8&lt;&gt;"",Q8="")</formula>
    </cfRule>
    <cfRule type="expression" priority="20" aboveAverage="0" equalAverage="0" bottom="0" percent="0" rank="0" text="" dxfId="2">
      <formula>AND($A8&lt;&gt;"",Q8&lt;&gt;"")</formula>
    </cfRule>
  </conditionalFormatting>
  <conditionalFormatting sqref="S8:S207">
    <cfRule type="expression" priority="21" aboveAverage="0" equalAverage="0" bottom="0" percent="0" rank="0" text="" dxfId="0">
      <formula>AND($A8&lt;&gt;"",S8="")</formula>
    </cfRule>
  </conditionalFormatting>
  <conditionalFormatting sqref="W8:W207">
    <cfRule type="expression" priority="22" aboveAverage="0" equalAverage="0" bottom="0" percent="0" rank="0" text="" dxfId="0">
      <formula>AND($A8&lt;&gt;"",W8="")</formula>
    </cfRule>
  </conditionalFormatting>
  <conditionalFormatting sqref="Y8:Y207">
    <cfRule type="expression" priority="23" aboveAverage="0" equalAverage="0" bottom="0" percent="0" rank="0" text="" dxfId="0">
      <formula>AND($A8&lt;&gt;"",Y8="")</formula>
    </cfRule>
  </conditionalFormatting>
  <conditionalFormatting sqref="Z8:Z207">
    <cfRule type="expression" priority="24" aboveAverage="0" equalAverage="0" bottom="0" percent="0" rank="0" text="" dxfId="0">
      <formula>AND($A8&lt;&gt;"",Z8="")</formula>
    </cfRule>
  </conditionalFormatting>
  <conditionalFormatting sqref="R8:R207">
    <cfRule type="expression" priority="25" aboveAverage="0" equalAverage="0" bottom="0" percent="0" rank="0" text="" dxfId="2">
      <formula>AND($A8&lt;&gt;"",R8&lt;&gt;"")</formula>
    </cfRule>
  </conditionalFormatting>
  <conditionalFormatting sqref="U8:V207">
    <cfRule type="expression" priority="26" aboveAverage="0" equalAverage="0" bottom="0" percent="0" rank="0" text="" dxfId="3">
      <formula>AND($A8&lt;&gt;"",$E8="国家",$U8&lt;&gt;"",$V8="")</formula>
    </cfRule>
  </conditionalFormatting>
  <dataValidations count="20">
    <dataValidation allowBlank="true" error="请从下拉列表中选择,不要手工输入。" errorStyle="stop" errorTitle="取值不在受控词表中" operator="between" showDropDown="false" showErrorMessage="false" showInputMessage="false" sqref="D8:D207" type="list">
      <formula1>受控词表!$A$3:$A$8</formula1>
      <formula2>0</formula2>
    </dataValidation>
    <dataValidation allowBlank="true" error="请从下拉列表中选择,不要手工输入。" errorStyle="stop" errorTitle="取值不在受控词表中" operator="between" showDropDown="false" showErrorMessage="false" showInputMessage="false" sqref="E8:E207" type="list">
      <formula1>受控词表!$J$3:$J$14</formula1>
      <formula2>0</formula2>
    </dataValidation>
    <dataValidation allowBlank="true" error="请从下拉列表中选择,不要手工输入。" errorStyle="stop" errorTitle="取值不在受控词表中" operator="between" showDropDown="false" showErrorMessage="false" showInputMessage="false" sqref="F8:F207" type="list">
      <formula1>受控词表!$C$3:$C$17</formula1>
      <formula2>0</formula2>
    </dataValidation>
    <dataValidation allowBlank="true" error="请从下拉列表中选择,不要手工输入。" errorStyle="stop" errorTitle="取值不在受控词表中" operator="between" showDropDown="false" showErrorMessage="false" showInputMessage="false" sqref="I8:I207" type="list">
      <formula1>受控词表!$E$3:$E$6</formula1>
      <formula2>0</formula2>
    </dataValidation>
    <dataValidation allowBlank="true" error="请从下拉列表中选择,不要手工输入。" errorStyle="stop" errorTitle="取值不在受控词表中" operator="between" showDropDown="false" showErrorMessage="false" showInputMessage="false" sqref="K8:K207" type="list">
      <formula1>受控词表!$B$3:$B$11</formula1>
      <formula2>0</formula2>
    </dataValidation>
    <dataValidation allowBlank="true" error="请从下拉列表中选择,不要手工输入。" errorStyle="stop" errorTitle="取值不在受控词表中" operator="between" showDropDown="false" showErrorMessage="false" showInputMessage="false" sqref="L8:L207" type="list">
      <formula1>受控词表!$B$3:$B$11</formula1>
      <formula2>0</formula2>
    </dataValidation>
    <dataValidation allowBlank="true" error="请从下拉列表中选择,不要手工输入。" errorStyle="stop" errorTitle="取值不在受控词表中" operator="between" showDropDown="false" showErrorMessage="false" showInputMessage="false" sqref="P8:P207" type="list">
      <formula1>受控词表!$D$3:$D$8</formula1>
      <formula2>0</formula2>
    </dataValidation>
    <dataValidation allowBlank="true" error="请从下拉列表中选择,不要手工输入。" errorStyle="stop" errorTitle="取值不在受控词表中" operator="between" showDropDown="false" showErrorMessage="false" showInputMessage="false" sqref="U8:U207" type="list">
      <formula1>受控词表!$K$3:$K$7</formula1>
      <formula2>0</formula2>
    </dataValidation>
    <dataValidation allowBlank="true" error="请从下拉列表中选择,不要手工输入。" errorStyle="stop" errorTitle="取值不在受控词表中" operator="between" showDropDown="false" showErrorMessage="false" showInputMessage="false" sqref="V8:V207" type="list">
      <formula1>受控词表!$L$3:$L$7</formula1>
      <formula2>0</formula2>
    </dataValidation>
    <dataValidation allowBlank="true" error="请从下拉列表中选择,不要手工输入。" errorStyle="stop" errorTitle="取值不在受控词表中" operator="between" showDropDown="false" showErrorMessage="false" showInputMessage="false" sqref="W8:W207" type="list">
      <formula1>受控词表!$F$3:$F$8</formula1>
      <formula2>0</formula2>
    </dataValidation>
    <dataValidation allowBlank="true" error="请从下拉列表中选择,不要手工输入。" errorStyle="stop" errorTitle="取值不在受控词表中" operator="between" showDropDown="false" showErrorMessage="false" showInputMessage="false" sqref="Y8:Y207" type="list">
      <formula1>受控词表!$G$3:$G$5</formula1>
      <formula2>0</formula2>
    </dataValidation>
    <dataValidation allowBlank="true" error="请输入 YYYY-MM-DD 格式的日期,例如 2016-12-29。" errorStyle="stop" errorTitle="日期格式错误" operator="between" showDropDown="false" showErrorMessage="false" showInputMessage="false" sqref="G8:G207" type="date">
      <formula1>DATE(1949,10,1)</formula1>
      <formula2>DATE(2035,12,31)</formula2>
    </dataValidation>
    <dataValidation allowBlank="true" error="请输入 YYYY-MM-DD 格式的日期,例如 2016-12-29。" errorStyle="stop" errorTitle="日期格式错误" operator="between" showDropDown="false" showErrorMessage="false" showInputMessage="false" sqref="H8:H207" type="date">
      <formula1>DATE(1949,10,1)</formula1>
      <formula2>DATE(2035,12,31)</formula2>
    </dataValidation>
    <dataValidation allowBlank="true" error="请输入 YYYY-MM-DD 格式的日期,例如 2016-12-29。" errorStyle="stop" errorTitle="日期格式错误" operator="between" showDropDown="false" showErrorMessage="false" showInputMessage="false" sqref="J8:J207" type="date">
      <formula1>DATE(1949,10,1)</formula1>
      <formula2>DATE(2035,12,31)</formula2>
    </dataValidation>
    <dataValidation allowBlank="true" error="请输入 YYYY-MM-DD 格式的日期,例如 2016-12-29。" errorStyle="stop" errorTitle="日期格式错误" operator="between" showDropDown="false" showErrorMessage="false" showInputMessage="false" sqref="Z8:Z207" type="date">
      <formula1>DATE(1949,10,1)</formula1>
      <formula2>DATE(2035,12,31)</formula2>
    </dataValidation>
    <dataValidation allowBlank="true" error="行为模式内容不超过120字。超长通常说明条文选得太大,请再拆细。" errorStyle="stop" errorTitle="字数超限" operator="lessThanOrEqual" showDropDown="false" showErrorMessage="false" showInputMessage="false" sqref="Q8:Q207" type="textLength">
      <formula1>120</formula1>
      <formula2>0</formula2>
    </dataValidation>
    <dataValidation allowBlank="true" error="原文摘录不超过200字。超长通常说明条文选得太大,请再拆细。" errorStyle="stop" errorTitle="字数超限" operator="lessThanOrEqual" showDropDown="false" showErrorMessage="false" showInputMessage="false" sqref="S8:S207" type="textLength">
      <formula1>200</formula1>
      <formula2>0</formula2>
    </dataValidation>
    <dataValidation allowBlank="true" error="规范主体不超过30字。超长通常说明条文选得太大,请再拆细。" errorStyle="stop" errorTitle="字数超限" operator="lessThanOrEqual" showDropDown="false" showErrorMessage="false" showInputMessage="false" sqref="N8:N207" type="textLength">
      <formula1>30</formula1>
      <formula2>0</formula2>
    </dataValidation>
    <dataValidation allowBlank="true" error="适用条件不超过80字。超长通常说明条文选得太大,请再拆细。" errorStyle="stop" errorTitle="字数超限" operator="lessThanOrEqual" showDropDown="false" showErrorMessage="false" showInputMessage="false" sqref="O8:O207" type="textLength">
      <formula1>80</formula1>
      <formula2>0</formula2>
    </dataValidation>
    <dataValidation allowBlank="true" error="法律后果不超过80字。超长通常说明条文选得太大,请再拆细。" errorStyle="stop" errorTitle="字数超限" operator="lessThanOrEqual" showDropDown="false" showErrorMessage="false" showInputMessage="false" sqref="R8:R207" type="textLength">
      <formula1>80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A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6"/>
    <col collapsed="false" customWidth="true" hidden="false" outlineLevel="0" max="3" min="3" style="1" width="18"/>
    <col collapsed="false" customWidth="true" hidden="false" outlineLevel="0" max="4" min="4" style="1" width="11"/>
    <col collapsed="false" customWidth="true" hidden="false" outlineLevel="0" max="5" min="5" style="1" width="10"/>
    <col collapsed="false" customWidth="true" hidden="false" outlineLevel="0" max="6" min="6" style="1" width="18"/>
    <col collapsed="false" customWidth="true" hidden="false" outlineLevel="0" max="8" min="7" style="1" width="12"/>
    <col collapsed="false" customWidth="true" hidden="false" outlineLevel="0" max="9" min="9" style="1" width="10"/>
    <col collapsed="false" customWidth="true" hidden="false" outlineLevel="0" max="10" min="10" style="1" width="13"/>
    <col collapsed="false" customWidth="true" hidden="false" outlineLevel="0" max="12" min="11" style="1" width="14"/>
    <col collapsed="false" customWidth="true" hidden="false" outlineLevel="0" max="13" min="13" style="1" width="16"/>
    <col collapsed="false" customWidth="true" hidden="false" outlineLevel="0" max="14" min="14" style="1" width="18"/>
    <col collapsed="false" customWidth="true" hidden="false" outlineLevel="0" max="15" min="15" style="1" width="24"/>
    <col collapsed="false" customWidth="true" hidden="false" outlineLevel="0" max="16" min="16" style="1" width="12"/>
    <col collapsed="false" customWidth="true" hidden="false" outlineLevel="0" max="17" min="17" style="1" width="32"/>
    <col collapsed="false" customWidth="true" hidden="false" outlineLevel="0" max="18" min="18" style="1" width="22"/>
    <col collapsed="false" customWidth="true" hidden="false" outlineLevel="0" max="19" min="19" style="1" width="30"/>
    <col collapsed="false" customWidth="true" hidden="false" outlineLevel="0" max="22" min="20" style="1" width="13"/>
    <col collapsed="false" customWidth="true" hidden="false" outlineLevel="0" max="24" min="23" style="1" width="14"/>
    <col collapsed="false" customWidth="true" hidden="false" outlineLevel="0" max="25" min="25" style="1" width="9"/>
    <col collapsed="false" customWidth="true" hidden="false" outlineLevel="0" max="26" min="26" style="1" width="12"/>
    <col collapsed="false" customWidth="true" hidden="false" outlineLevel="0" max="27" min="27" style="1" width="22"/>
  </cols>
  <sheetData>
    <row r="1" customFormat="false" ht="21" hidden="false" customHeight="true" outlineLevel="0" collapsed="false">
      <c r="A1" s="2" t="s">
        <v>353</v>
      </c>
    </row>
    <row r="2" customFormat="false" ht="15" hidden="false" customHeight="true" outlineLevel="0" collapsed="false">
      <c r="A2" s="11" t="s">
        <v>354</v>
      </c>
    </row>
    <row r="4" customFormat="false" ht="33.75" hidden="false" customHeight="true" outlineLevel="0" collapsed="false">
      <c r="A4" s="12" t="s">
        <v>327</v>
      </c>
      <c r="B4" s="12" t="s">
        <v>178</v>
      </c>
      <c r="C4" s="12" t="s">
        <v>328</v>
      </c>
      <c r="D4" s="12" t="s">
        <v>179</v>
      </c>
      <c r="E4" s="12" t="s">
        <v>329</v>
      </c>
      <c r="F4" s="12" t="s">
        <v>330</v>
      </c>
      <c r="G4" s="12" t="s">
        <v>331</v>
      </c>
      <c r="H4" s="12" t="s">
        <v>332</v>
      </c>
      <c r="I4" s="12" t="s">
        <v>333</v>
      </c>
      <c r="J4" s="12" t="s">
        <v>334</v>
      </c>
      <c r="K4" s="12" t="s">
        <v>335</v>
      </c>
      <c r="L4" s="12" t="s">
        <v>336</v>
      </c>
      <c r="M4" s="12" t="s">
        <v>337</v>
      </c>
      <c r="N4" s="33" t="s">
        <v>338</v>
      </c>
      <c r="O4" s="33" t="s">
        <v>339</v>
      </c>
      <c r="P4" s="33" t="s">
        <v>340</v>
      </c>
      <c r="Q4" s="33" t="s">
        <v>341</v>
      </c>
      <c r="R4" s="33" t="s">
        <v>342</v>
      </c>
      <c r="S4" s="12" t="s">
        <v>343</v>
      </c>
      <c r="T4" s="12" t="s">
        <v>344</v>
      </c>
      <c r="U4" s="34" t="s">
        <v>345</v>
      </c>
      <c r="V4" s="34" t="s">
        <v>346</v>
      </c>
      <c r="W4" s="12" t="s">
        <v>347</v>
      </c>
      <c r="X4" s="12" t="s">
        <v>348</v>
      </c>
      <c r="Y4" s="12" t="s">
        <v>349</v>
      </c>
      <c r="Z4" s="12" t="s">
        <v>350</v>
      </c>
      <c r="AA4" s="12" t="s">
        <v>351</v>
      </c>
    </row>
    <row r="5" customFormat="false" ht="99.75" hidden="false" customHeight="true" outlineLevel="0" collapsed="false">
      <c r="A5" s="40" t="s">
        <v>355</v>
      </c>
      <c r="B5" s="41" t="s">
        <v>228</v>
      </c>
      <c r="C5" s="41" t="s">
        <v>356</v>
      </c>
      <c r="D5" s="41" t="s">
        <v>186</v>
      </c>
      <c r="E5" s="41" t="s">
        <v>357</v>
      </c>
      <c r="F5" s="41" t="s">
        <v>358</v>
      </c>
      <c r="G5" s="40" t="s">
        <v>359</v>
      </c>
      <c r="H5" s="40" t="s">
        <v>360</v>
      </c>
      <c r="I5" s="41" t="s">
        <v>361</v>
      </c>
      <c r="J5" s="40"/>
      <c r="K5" s="41" t="s">
        <v>362</v>
      </c>
      <c r="L5" s="40"/>
      <c r="M5" s="41" t="s">
        <v>363</v>
      </c>
      <c r="N5" s="41" t="s">
        <v>364</v>
      </c>
      <c r="O5" s="41" t="s">
        <v>365</v>
      </c>
      <c r="P5" s="41" t="s">
        <v>366</v>
      </c>
      <c r="Q5" s="41" t="s">
        <v>367</v>
      </c>
      <c r="R5" s="41" t="s">
        <v>368</v>
      </c>
      <c r="S5" s="41" t="s">
        <v>369</v>
      </c>
      <c r="T5" s="40" t="s">
        <v>370</v>
      </c>
      <c r="U5" s="41" t="s">
        <v>371</v>
      </c>
      <c r="V5" s="40"/>
      <c r="W5" s="41" t="s">
        <v>372</v>
      </c>
      <c r="X5" s="40" t="s">
        <v>373</v>
      </c>
      <c r="Y5" s="40" t="s">
        <v>374</v>
      </c>
      <c r="Z5" s="40" t="s">
        <v>375</v>
      </c>
      <c r="AA5" s="41" t="s">
        <v>376</v>
      </c>
    </row>
    <row r="6" customFormat="false" ht="99.75" hidden="false" customHeight="true" outlineLevel="0" collapsed="false">
      <c r="A6" s="42" t="s">
        <v>377</v>
      </c>
      <c r="B6" s="43" t="s">
        <v>378</v>
      </c>
      <c r="C6" s="42"/>
      <c r="D6" s="43" t="s">
        <v>186</v>
      </c>
      <c r="E6" s="42"/>
      <c r="F6" s="43" t="s">
        <v>379</v>
      </c>
      <c r="G6" s="42" t="s">
        <v>380</v>
      </c>
      <c r="H6" s="42" t="s">
        <v>380</v>
      </c>
      <c r="I6" s="43" t="s">
        <v>361</v>
      </c>
      <c r="J6" s="42"/>
      <c r="K6" s="43" t="s">
        <v>381</v>
      </c>
      <c r="L6" s="43" t="s">
        <v>362</v>
      </c>
      <c r="M6" s="43" t="s">
        <v>382</v>
      </c>
      <c r="N6" s="43" t="s">
        <v>357</v>
      </c>
      <c r="O6" s="42" t="s">
        <v>383</v>
      </c>
      <c r="P6" s="43" t="s">
        <v>384</v>
      </c>
      <c r="Q6" s="43" t="s">
        <v>385</v>
      </c>
      <c r="R6" s="42"/>
      <c r="S6" s="43" t="s">
        <v>386</v>
      </c>
      <c r="T6" s="42" t="s">
        <v>387</v>
      </c>
      <c r="U6" s="42"/>
      <c r="V6" s="43" t="s">
        <v>388</v>
      </c>
      <c r="W6" s="43" t="s">
        <v>389</v>
      </c>
      <c r="X6" s="43" t="s">
        <v>390</v>
      </c>
      <c r="Y6" s="42"/>
      <c r="Z6" s="42"/>
      <c r="AA6" s="43" t="s">
        <v>391</v>
      </c>
    </row>
    <row r="7" customFormat="false" ht="99.75" hidden="false" customHeight="true" outlineLevel="0" collapsed="false">
      <c r="A7" s="44" t="s">
        <v>392</v>
      </c>
      <c r="B7" s="45" t="s">
        <v>393</v>
      </c>
      <c r="C7" s="45" t="s">
        <v>394</v>
      </c>
      <c r="D7" s="45" t="s">
        <v>186</v>
      </c>
      <c r="E7" s="45" t="s">
        <v>357</v>
      </c>
      <c r="F7" s="45" t="s">
        <v>358</v>
      </c>
      <c r="G7" s="44" t="s">
        <v>395</v>
      </c>
      <c r="H7" s="44" t="s">
        <v>396</v>
      </c>
      <c r="I7" s="45" t="s">
        <v>397</v>
      </c>
      <c r="J7" s="44" t="s">
        <v>398</v>
      </c>
      <c r="K7" s="45" t="s">
        <v>399</v>
      </c>
      <c r="L7" s="45" t="s">
        <v>400</v>
      </c>
      <c r="M7" s="45" t="s">
        <v>401</v>
      </c>
      <c r="N7" s="45" t="s">
        <v>402</v>
      </c>
      <c r="O7" s="45" t="s">
        <v>403</v>
      </c>
      <c r="P7" s="45" t="s">
        <v>384</v>
      </c>
      <c r="Q7" s="45" t="s">
        <v>404</v>
      </c>
      <c r="R7" s="45" t="s">
        <v>405</v>
      </c>
      <c r="S7" s="45" t="s">
        <v>369</v>
      </c>
      <c r="T7" s="44" t="s">
        <v>406</v>
      </c>
      <c r="U7" s="45" t="s">
        <v>407</v>
      </c>
      <c r="V7" s="44"/>
      <c r="W7" s="45" t="s">
        <v>372</v>
      </c>
      <c r="X7" s="44" t="s">
        <v>373</v>
      </c>
      <c r="Y7" s="44" t="s">
        <v>374</v>
      </c>
      <c r="Z7" s="44" t="s">
        <v>375</v>
      </c>
      <c r="AA7" s="45" t="s">
        <v>408</v>
      </c>
    </row>
    <row r="8" customFormat="false" ht="99.75" hidden="false" customHeight="true" outlineLevel="0" collapsed="false">
      <c r="A8" s="46" t="s">
        <v>406</v>
      </c>
      <c r="B8" s="47" t="s">
        <v>251</v>
      </c>
      <c r="C8" s="47" t="s">
        <v>409</v>
      </c>
      <c r="D8" s="47" t="s">
        <v>189</v>
      </c>
      <c r="E8" s="47" t="s">
        <v>357</v>
      </c>
      <c r="F8" s="47" t="s">
        <v>410</v>
      </c>
      <c r="G8" s="46" t="s">
        <v>411</v>
      </c>
      <c r="H8" s="46" t="s">
        <v>411</v>
      </c>
      <c r="I8" s="47" t="s">
        <v>361</v>
      </c>
      <c r="J8" s="46"/>
      <c r="K8" s="47" t="s">
        <v>399</v>
      </c>
      <c r="L8" s="47" t="s">
        <v>412</v>
      </c>
      <c r="M8" s="47" t="s">
        <v>413</v>
      </c>
      <c r="N8" s="47" t="s">
        <v>414</v>
      </c>
      <c r="O8" s="47" t="s">
        <v>415</v>
      </c>
      <c r="P8" s="47" t="s">
        <v>416</v>
      </c>
      <c r="Q8" s="47" t="s">
        <v>417</v>
      </c>
      <c r="R8" s="47" t="s">
        <v>368</v>
      </c>
      <c r="S8" s="47" t="s">
        <v>369</v>
      </c>
      <c r="T8" s="46"/>
      <c r="U8" s="47" t="s">
        <v>418</v>
      </c>
      <c r="V8" s="46"/>
      <c r="W8" s="47" t="s">
        <v>419</v>
      </c>
      <c r="X8" s="46" t="s">
        <v>373</v>
      </c>
      <c r="Y8" s="46" t="s">
        <v>374</v>
      </c>
      <c r="Z8" s="46" t="s">
        <v>375</v>
      </c>
      <c r="AA8" s="47" t="s">
        <v>420</v>
      </c>
    </row>
    <row r="9" customFormat="false" ht="99.75" hidden="false" customHeight="true" outlineLevel="0" collapsed="false">
      <c r="A9" s="48" t="s">
        <v>421</v>
      </c>
      <c r="B9" s="49" t="s">
        <v>422</v>
      </c>
      <c r="C9" s="48" t="s">
        <v>423</v>
      </c>
      <c r="D9" s="49" t="s">
        <v>424</v>
      </c>
      <c r="E9" s="49" t="s">
        <v>425</v>
      </c>
      <c r="F9" s="49" t="s">
        <v>426</v>
      </c>
      <c r="G9" s="48" t="s">
        <v>423</v>
      </c>
      <c r="H9" s="48" t="s">
        <v>423</v>
      </c>
      <c r="I9" s="49" t="s">
        <v>361</v>
      </c>
      <c r="J9" s="48"/>
      <c r="K9" s="49" t="s">
        <v>399</v>
      </c>
      <c r="L9" s="49" t="s">
        <v>400</v>
      </c>
      <c r="M9" s="49" t="s">
        <v>427</v>
      </c>
      <c r="N9" s="49" t="s">
        <v>428</v>
      </c>
      <c r="O9" s="49" t="s">
        <v>429</v>
      </c>
      <c r="P9" s="49" t="s">
        <v>366</v>
      </c>
      <c r="Q9" s="49" t="s">
        <v>430</v>
      </c>
      <c r="R9" s="49" t="s">
        <v>368</v>
      </c>
      <c r="S9" s="49" t="s">
        <v>431</v>
      </c>
      <c r="T9" s="48"/>
      <c r="U9" s="48"/>
      <c r="V9" s="49" t="s">
        <v>432</v>
      </c>
      <c r="W9" s="49" t="s">
        <v>419</v>
      </c>
      <c r="X9" s="48" t="s">
        <v>433</v>
      </c>
      <c r="Y9" s="48" t="s">
        <v>374</v>
      </c>
      <c r="Z9" s="48"/>
      <c r="AA9" s="49" t="s">
        <v>434</v>
      </c>
    </row>
    <row r="11" customFormat="false" ht="15" hidden="false" customHeight="true" outlineLevel="0" collapsed="false">
      <c r="A11" s="11" t="s">
        <v>435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B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90"/>
  </cols>
  <sheetData>
    <row r="1" customFormat="false" ht="21" hidden="false" customHeight="true" outlineLevel="0" collapsed="false">
      <c r="A1" s="2" t="s">
        <v>436</v>
      </c>
    </row>
    <row r="3" customFormat="false" ht="15" hidden="false" customHeight="true" outlineLevel="0" collapsed="false">
      <c r="A3" s="12" t="s">
        <v>437</v>
      </c>
      <c r="B3" s="12" t="s">
        <v>438</v>
      </c>
    </row>
    <row r="4" customFormat="false" ht="48" hidden="false" customHeight="true" outlineLevel="0" collapsed="false">
      <c r="A4" s="50" t="s">
        <v>439</v>
      </c>
      <c r="B4" s="25" t="s">
        <v>440</v>
      </c>
    </row>
    <row r="5" customFormat="false" ht="48" hidden="false" customHeight="true" outlineLevel="0" collapsed="false">
      <c r="A5" s="50" t="s">
        <v>441</v>
      </c>
      <c r="B5" s="25" t="s">
        <v>442</v>
      </c>
    </row>
    <row r="6" customFormat="false" ht="48" hidden="false" customHeight="true" outlineLevel="0" collapsed="false">
      <c r="A6" s="50" t="s">
        <v>443</v>
      </c>
      <c r="B6" s="25" t="s">
        <v>444</v>
      </c>
    </row>
    <row r="7" customFormat="false" ht="48" hidden="false" customHeight="true" outlineLevel="0" collapsed="false">
      <c r="A7" s="50" t="s">
        <v>445</v>
      </c>
      <c r="B7" s="25" t="s">
        <v>446</v>
      </c>
    </row>
    <row r="8" customFormat="false" ht="48" hidden="false" customHeight="true" outlineLevel="0" collapsed="false">
      <c r="A8" s="50" t="s">
        <v>447</v>
      </c>
      <c r="B8" s="25" t="s">
        <v>448</v>
      </c>
    </row>
    <row r="9" customFormat="false" ht="48" hidden="false" customHeight="true" outlineLevel="0" collapsed="false">
      <c r="A9" s="50" t="s">
        <v>449</v>
      </c>
      <c r="B9" s="25" t="s">
        <v>450</v>
      </c>
    </row>
    <row r="10" customFormat="false" ht="48" hidden="false" customHeight="true" outlineLevel="0" collapsed="false">
      <c r="A10" s="50" t="s">
        <v>451</v>
      </c>
      <c r="B10" s="25" t="s">
        <v>452</v>
      </c>
    </row>
    <row r="11" customFormat="false" ht="48" hidden="false" customHeight="true" outlineLevel="0" collapsed="false">
      <c r="A11" s="50" t="s">
        <v>453</v>
      </c>
      <c r="B11" s="25" t="s">
        <v>454</v>
      </c>
    </row>
    <row r="12" customFormat="false" ht="48" hidden="false" customHeight="true" outlineLevel="0" collapsed="false">
      <c r="A12" s="50" t="s">
        <v>455</v>
      </c>
      <c r="B12" s="25" t="s">
        <v>456</v>
      </c>
    </row>
    <row r="13" customFormat="false" ht="48" hidden="false" customHeight="true" outlineLevel="0" collapsed="false">
      <c r="A13" s="50" t="s">
        <v>457</v>
      </c>
      <c r="B13" s="25" t="s">
        <v>458</v>
      </c>
    </row>
    <row r="14" customFormat="false" ht="48" hidden="false" customHeight="true" outlineLevel="0" collapsed="false">
      <c r="A14" s="50" t="s">
        <v>459</v>
      </c>
      <c r="B14" s="25" t="s">
        <v>460</v>
      </c>
    </row>
    <row r="15" customFormat="false" ht="48" hidden="false" customHeight="true" outlineLevel="0" collapsed="false">
      <c r="A15" s="50" t="s">
        <v>461</v>
      </c>
      <c r="B15" s="25" t="s">
        <v>462</v>
      </c>
    </row>
    <row r="16" customFormat="false" ht="48" hidden="false" customHeight="true" outlineLevel="0" collapsed="false">
      <c r="A16" s="50" t="s">
        <v>463</v>
      </c>
      <c r="B16" s="51" t="s">
        <v>464</v>
      </c>
    </row>
    <row r="17" customFormat="false" ht="48" hidden="false" customHeight="true" outlineLevel="0" collapsed="false">
      <c r="A17" s="50" t="s">
        <v>465</v>
      </c>
      <c r="B17" s="25" t="s">
        <v>466</v>
      </c>
    </row>
    <row r="18" customFormat="false" ht="48" hidden="false" customHeight="true" outlineLevel="0" collapsed="false">
      <c r="A18" s="50" t="s">
        <v>467</v>
      </c>
      <c r="B18" s="25" t="s">
        <v>468</v>
      </c>
    </row>
    <row r="19" customFormat="false" ht="48" hidden="false" customHeight="true" outlineLevel="0" collapsed="false">
      <c r="A19" s="50" t="s">
        <v>469</v>
      </c>
      <c r="B19" s="25" t="s">
        <v>470</v>
      </c>
    </row>
    <row r="20" customFormat="false" ht="48" hidden="false" customHeight="true" outlineLevel="0" collapsed="false">
      <c r="A20" s="50" t="s">
        <v>471</v>
      </c>
      <c r="B20" s="25" t="s">
        <v>472</v>
      </c>
    </row>
    <row r="21" customFormat="false" ht="48" hidden="false" customHeight="true" outlineLevel="0" collapsed="false">
      <c r="A21" s="52" t="s">
        <v>473</v>
      </c>
      <c r="B21" s="53" t="s">
        <v>474</v>
      </c>
    </row>
    <row r="22" customFormat="false" ht="48" hidden="false" customHeight="true" outlineLevel="0" collapsed="false">
      <c r="A22" s="52" t="s">
        <v>475</v>
      </c>
      <c r="B22" s="53" t="s">
        <v>476</v>
      </c>
    </row>
    <row r="23" customFormat="false" ht="48" hidden="false" customHeight="true" outlineLevel="0" collapsed="false">
      <c r="A23" s="52" t="s">
        <v>477</v>
      </c>
      <c r="B23" s="53" t="s">
        <v>478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8"/>
    <col collapsed="false" customWidth="true" hidden="false" outlineLevel="0" max="2" min="2" style="1" width="10"/>
    <col collapsed="false" customWidth="true" hidden="false" outlineLevel="0" max="3" min="3" style="1" width="30"/>
  </cols>
  <sheetData>
    <row r="1" customFormat="false" ht="17.25" hidden="false" customHeight="true" outlineLevel="0" collapsed="false">
      <c r="A1" s="2" t="s">
        <v>479</v>
      </c>
    </row>
    <row r="2" customFormat="false" ht="15" hidden="false" customHeight="true" outlineLevel="0" collapsed="false">
      <c r="A2" s="11" t="s">
        <v>480</v>
      </c>
    </row>
    <row r="4" customFormat="false" ht="15" hidden="false" customHeight="true" outlineLevel="0" collapsed="false">
      <c r="A4" s="12" t="s">
        <v>481</v>
      </c>
      <c r="B4" s="12" t="s">
        <v>482</v>
      </c>
      <c r="C4" s="12" t="s">
        <v>483</v>
      </c>
    </row>
    <row r="5" customFormat="false" ht="27.75" hidden="false" customHeight="true" outlineLevel="0" collapsed="false">
      <c r="A5" s="25" t="s">
        <v>484</v>
      </c>
      <c r="B5" s="54"/>
      <c r="C5" s="55"/>
    </row>
    <row r="6" customFormat="false" ht="27.75" hidden="false" customHeight="true" outlineLevel="0" collapsed="false">
      <c r="A6" s="25" t="s">
        <v>485</v>
      </c>
      <c r="B6" s="54"/>
      <c r="C6" s="55"/>
    </row>
    <row r="7" customFormat="false" ht="27.75" hidden="false" customHeight="true" outlineLevel="0" collapsed="false">
      <c r="A7" s="25" t="s">
        <v>486</v>
      </c>
      <c r="B7" s="54"/>
      <c r="C7" s="55"/>
    </row>
    <row r="8" customFormat="false" ht="27.75" hidden="false" customHeight="true" outlineLevel="0" collapsed="false">
      <c r="A8" s="25" t="s">
        <v>487</v>
      </c>
      <c r="B8" s="54"/>
      <c r="C8" s="55"/>
    </row>
    <row r="9" customFormat="false" ht="27.75" hidden="false" customHeight="true" outlineLevel="0" collapsed="false">
      <c r="A9" s="25" t="s">
        <v>488</v>
      </c>
      <c r="B9" s="54"/>
      <c r="C9" s="55"/>
    </row>
    <row r="10" customFormat="false" ht="27.75" hidden="false" customHeight="true" outlineLevel="0" collapsed="false">
      <c r="A10" s="25" t="s">
        <v>489</v>
      </c>
      <c r="B10" s="54"/>
      <c r="C10" s="55"/>
    </row>
    <row r="11" customFormat="false" ht="27.75" hidden="false" customHeight="true" outlineLevel="0" collapsed="false">
      <c r="A11" s="25" t="s">
        <v>490</v>
      </c>
      <c r="B11" s="54"/>
      <c r="C11" s="55"/>
    </row>
    <row r="12" customFormat="false" ht="27.75" hidden="false" customHeight="true" outlineLevel="0" collapsed="false">
      <c r="A12" s="25" t="s">
        <v>491</v>
      </c>
      <c r="B12" s="54"/>
      <c r="C12" s="55"/>
    </row>
    <row r="13" customFormat="false" ht="27.75" hidden="false" customHeight="true" outlineLevel="0" collapsed="false">
      <c r="A13" s="25" t="s">
        <v>492</v>
      </c>
      <c r="B13" s="54"/>
      <c r="C13" s="55"/>
    </row>
    <row r="14" customFormat="false" ht="27.75" hidden="false" customHeight="true" outlineLevel="0" collapsed="false">
      <c r="A14" s="25" t="s">
        <v>493</v>
      </c>
      <c r="B14" s="54"/>
      <c r="C14" s="55"/>
    </row>
    <row r="15" customFormat="false" ht="27.75" hidden="false" customHeight="true" outlineLevel="0" collapsed="false">
      <c r="A15" s="25" t="s">
        <v>494</v>
      </c>
      <c r="B15" s="54"/>
      <c r="C15" s="55"/>
    </row>
    <row r="17" customFormat="false" ht="15" hidden="false" customHeight="true" outlineLevel="0" collapsed="false">
      <c r="A17" s="6" t="s">
        <v>495</v>
      </c>
      <c r="B17" s="56" t="n">
        <f aca="false">COUNTIF(B5:B15,"是")</f>
        <v>0</v>
      </c>
    </row>
    <row r="18" customFormat="false" ht="15" hidden="false" customHeight="true" outlineLevel="0" collapsed="false">
      <c r="A18" s="6" t="s">
        <v>496</v>
      </c>
      <c r="B18" s="57" t="str">
        <f aca="false">IF(B17=11,"可以提交","尚有 "&amp;(11-B17)&amp;" 项未通过,请勿提交")</f>
        <v>尚有 11 项未通过,请勿提交</v>
      </c>
      <c r="C18" s="57"/>
    </row>
  </sheetData>
  <mergeCells count="1">
    <mergeCell ref="B18:C18"/>
  </mergeCells>
  <conditionalFormatting sqref="B5:B15">
    <cfRule type="expression" priority="2" aboveAverage="0" equalAverage="0" bottom="0" percent="0" rank="0" text="" dxfId="0">
      <formula>$B5="否"</formula>
    </cfRule>
    <cfRule type="expression" priority="3" aboveAverage="0" equalAverage="0" bottom="0" percent="0" rank="0" text="" dxfId="1">
      <formula>$B5="是"</formula>
    </cfRule>
  </conditionalFormatting>
  <dataValidations count="1">
    <dataValidation allowBlank="true" errorStyle="stop" operator="between" showDropDown="false" showErrorMessage="false" showInputMessage="false" sqref="B5:B15" type="list">
      <formula1>"是,否"</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7" min="1" style="1" width="24"/>
    <col collapsed="false" customWidth="true" hidden="false" outlineLevel="0" max="12" min="10" style="1" width="24"/>
  </cols>
  <sheetData>
    <row r="1" customFormat="false" ht="21" hidden="false" customHeight="true" outlineLevel="0" collapsed="false">
      <c r="A1" s="2" t="s">
        <v>497</v>
      </c>
    </row>
    <row r="2" customFormat="false" ht="15" hidden="false" customHeight="true" outlineLevel="0" collapsed="false">
      <c r="A2" s="12" t="s">
        <v>179</v>
      </c>
      <c r="B2" s="12" t="s">
        <v>498</v>
      </c>
      <c r="C2" s="12" t="s">
        <v>330</v>
      </c>
      <c r="D2" s="12" t="s">
        <v>499</v>
      </c>
      <c r="E2" s="12" t="s">
        <v>333</v>
      </c>
      <c r="F2" s="12" t="s">
        <v>347</v>
      </c>
      <c r="G2" s="12" t="s">
        <v>349</v>
      </c>
      <c r="J2" s="12" t="s">
        <v>500</v>
      </c>
      <c r="K2" s="12" t="s">
        <v>345</v>
      </c>
      <c r="L2" s="12" t="s">
        <v>346</v>
      </c>
    </row>
    <row r="3" customFormat="false" ht="15" hidden="false" customHeight="true" outlineLevel="0" collapsed="false">
      <c r="A3" s="58" t="s">
        <v>186</v>
      </c>
      <c r="B3" s="58" t="s">
        <v>412</v>
      </c>
      <c r="C3" s="58" t="s">
        <v>358</v>
      </c>
      <c r="D3" s="58" t="s">
        <v>384</v>
      </c>
      <c r="E3" s="58" t="s">
        <v>361</v>
      </c>
      <c r="F3" s="58" t="s">
        <v>501</v>
      </c>
      <c r="G3" s="59" t="s">
        <v>374</v>
      </c>
      <c r="J3" s="58" t="s">
        <v>357</v>
      </c>
      <c r="K3" s="58" t="s">
        <v>371</v>
      </c>
      <c r="L3" s="58" t="s">
        <v>388</v>
      </c>
    </row>
    <row r="4" customFormat="false" ht="15" hidden="false" customHeight="true" outlineLevel="0" collapsed="false">
      <c r="A4" s="58" t="s">
        <v>199</v>
      </c>
      <c r="B4" s="58" t="s">
        <v>362</v>
      </c>
      <c r="C4" s="58" t="s">
        <v>502</v>
      </c>
      <c r="D4" s="58" t="s">
        <v>503</v>
      </c>
      <c r="E4" s="58" t="s">
        <v>397</v>
      </c>
      <c r="F4" s="58" t="s">
        <v>504</v>
      </c>
      <c r="G4" s="59" t="s">
        <v>505</v>
      </c>
      <c r="J4" s="58" t="s">
        <v>506</v>
      </c>
      <c r="K4" s="58" t="s">
        <v>507</v>
      </c>
      <c r="L4" s="58" t="s">
        <v>432</v>
      </c>
    </row>
    <row r="5" customFormat="false" ht="15" hidden="false" customHeight="true" outlineLevel="0" collapsed="false">
      <c r="A5" s="58" t="s">
        <v>212</v>
      </c>
      <c r="B5" s="58" t="s">
        <v>399</v>
      </c>
      <c r="C5" s="58" t="s">
        <v>410</v>
      </c>
      <c r="D5" s="58" t="s">
        <v>508</v>
      </c>
      <c r="E5" s="58" t="s">
        <v>509</v>
      </c>
      <c r="F5" s="58" t="s">
        <v>372</v>
      </c>
      <c r="G5" s="58" t="s">
        <v>510</v>
      </c>
      <c r="J5" s="58" t="s">
        <v>511</v>
      </c>
      <c r="K5" s="58" t="s">
        <v>418</v>
      </c>
      <c r="L5" s="58" t="s">
        <v>512</v>
      </c>
    </row>
    <row r="6" customFormat="false" ht="15" hidden="false" customHeight="true" outlineLevel="0" collapsed="false">
      <c r="A6" s="58" t="s">
        <v>424</v>
      </c>
      <c r="B6" s="58" t="s">
        <v>513</v>
      </c>
      <c r="C6" s="58" t="s">
        <v>514</v>
      </c>
      <c r="D6" s="58" t="s">
        <v>515</v>
      </c>
      <c r="E6" s="58" t="s">
        <v>516</v>
      </c>
      <c r="F6" s="58" t="s">
        <v>517</v>
      </c>
      <c r="J6" s="58" t="s">
        <v>518</v>
      </c>
      <c r="K6" s="58" t="s">
        <v>407</v>
      </c>
      <c r="L6" s="58" t="s">
        <v>519</v>
      </c>
    </row>
    <row r="7" customFormat="false" ht="15" hidden="false" customHeight="true" outlineLevel="0" collapsed="false">
      <c r="A7" s="58" t="s">
        <v>208</v>
      </c>
      <c r="B7" s="58" t="s">
        <v>520</v>
      </c>
      <c r="C7" s="58" t="s">
        <v>521</v>
      </c>
      <c r="D7" s="58" t="s">
        <v>366</v>
      </c>
      <c r="F7" s="58" t="s">
        <v>419</v>
      </c>
      <c r="J7" s="58" t="s">
        <v>522</v>
      </c>
      <c r="K7" s="58" t="s">
        <v>523</v>
      </c>
      <c r="L7" s="58" t="s">
        <v>524</v>
      </c>
    </row>
    <row r="8" customFormat="false" ht="15" hidden="false" customHeight="true" outlineLevel="0" collapsed="false">
      <c r="A8" s="58" t="s">
        <v>189</v>
      </c>
      <c r="B8" s="58" t="s">
        <v>400</v>
      </c>
      <c r="C8" s="58" t="s">
        <v>525</v>
      </c>
      <c r="D8" s="58" t="s">
        <v>416</v>
      </c>
      <c r="F8" s="58" t="s">
        <v>526</v>
      </c>
      <c r="J8" s="58" t="s">
        <v>527</v>
      </c>
    </row>
    <row r="9" customFormat="false" ht="15" hidden="false" customHeight="true" outlineLevel="0" collapsed="false">
      <c r="B9" s="58" t="s">
        <v>528</v>
      </c>
      <c r="C9" s="58" t="s">
        <v>529</v>
      </c>
      <c r="D9" s="60" t="s">
        <v>530</v>
      </c>
      <c r="J9" s="58" t="s">
        <v>531</v>
      </c>
    </row>
    <row r="10" customFormat="false" ht="15" hidden="false" customHeight="true" outlineLevel="0" collapsed="false">
      <c r="B10" s="58" t="s">
        <v>532</v>
      </c>
      <c r="C10" s="58" t="s">
        <v>533</v>
      </c>
      <c r="J10" s="58" t="s">
        <v>534</v>
      </c>
    </row>
    <row r="11" customFormat="false" ht="15" hidden="false" customHeight="true" outlineLevel="0" collapsed="false">
      <c r="B11" s="58" t="s">
        <v>535</v>
      </c>
      <c r="C11" s="58" t="s">
        <v>536</v>
      </c>
      <c r="J11" s="58" t="s">
        <v>537</v>
      </c>
    </row>
    <row r="12" customFormat="false" ht="29.25" hidden="false" customHeight="true" outlineLevel="0" collapsed="false">
      <c r="C12" s="58" t="s">
        <v>538</v>
      </c>
      <c r="J12" s="58" t="s">
        <v>539</v>
      </c>
    </row>
    <row r="13" customFormat="false" ht="29.25" hidden="false" customHeight="true" outlineLevel="0" collapsed="false">
      <c r="C13" s="58" t="s">
        <v>540</v>
      </c>
      <c r="J13" s="58" t="s">
        <v>425</v>
      </c>
    </row>
    <row r="14" customFormat="false" ht="15" hidden="false" customHeight="true" outlineLevel="0" collapsed="false">
      <c r="C14" s="58" t="s">
        <v>541</v>
      </c>
      <c r="J14" s="58" t="s">
        <v>542</v>
      </c>
    </row>
    <row r="15" customFormat="false" ht="15" hidden="false" customHeight="true" outlineLevel="0" collapsed="false">
      <c r="C15" s="58" t="s">
        <v>543</v>
      </c>
    </row>
    <row r="16" customFormat="false" ht="15" hidden="false" customHeight="true" outlineLevel="0" collapsed="false">
      <c r="C16" s="58" t="s">
        <v>426</v>
      </c>
    </row>
    <row r="17" customFormat="false" ht="15" hidden="false" customHeight="true" outlineLevel="0" collapsed="false">
      <c r="C17" s="58" t="s">
        <v>526</v>
      </c>
    </row>
    <row r="20" customFormat="false" ht="15" hidden="false" customHeight="true" outlineLevel="0" collapsed="false">
      <c r="A20" s="11" t="s">
        <v>544</v>
      </c>
    </row>
  </sheetData>
  <sheetProtection sheet="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2026-08-22T00:52:07Z</dcterms:created>
  <dc:creator>openpyxl</dc:creator>
  <dc:description/>
  <dc:language>en-US</dc:language>
  <cp:lastModifiedBy/>
  <dcterms:modified xsi:type="dcterms:W3CDTF">2026-08-25T10:56:20Z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