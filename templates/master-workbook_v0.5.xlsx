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使用说明" sheetId="1" state="visible" r:id="rId1"/>
    <sheet xmlns:r="http://schemas.openxmlformats.org/officeDocument/2006/relationships" name="规范清单" sheetId="2" state="visible" r:id="rId2"/>
    <sheet xmlns:r="http://schemas.openxmlformats.org/officeDocument/2006/relationships" name="领域地图" sheetId="3" state="visible" r:id="rId3"/>
    <sheet xmlns:r="http://schemas.openxmlformats.org/officeDocument/2006/relationships" name="字段定义" sheetId="4" state="visible" r:id="rId4"/>
    <sheet xmlns:r="http://schemas.openxmlformats.org/officeDocument/2006/relationships" name="受控词表" sheetId="5" state="visible" r:id="rId5"/>
    <sheet xmlns:r="http://schemas.openxmlformats.org/officeDocument/2006/relationships" name="示例数据" sheetId="6" state="visible" r:id="rId6"/>
    <sheet xmlns:r="http://schemas.openxmlformats.org/officeDocument/2006/relationships" name="修订日志"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27">
    <font>
      <name val="Calibri"/>
      <charset val="1"/>
      <family val="2"/>
      <color theme="1"/>
      <sz val="11"/>
    </font>
    <font>
      <name val="Arial"/>
      <family val="0"/>
      <sz val="10"/>
    </font>
    <font>
      <name val="Arial"/>
      <family val="0"/>
      <sz val="10"/>
    </font>
    <font>
      <name val="Arial"/>
      <family val="0"/>
      <sz val="10"/>
    </font>
    <font>
      <name val="Noto Sans CJK SC"/>
      <family val="2"/>
      <b val="1"/>
      <color rgb="FF000000"/>
      <sz val="14"/>
    </font>
    <font>
      <name val="微软雅黑"/>
      <charset val="1"/>
      <family val="0"/>
      <b val="1"/>
      <color rgb="FF000000"/>
      <sz val="14"/>
    </font>
    <font>
      <name val="Noto Sans CJK SC"/>
      <family val="2"/>
      <color rgb="FF808080"/>
      <sz val="11"/>
    </font>
    <font>
      <name val="微软雅黑"/>
      <charset val="1"/>
      <family val="0"/>
      <color rgb="FF808080"/>
      <sz val="11"/>
    </font>
    <font>
      <name val="微软雅黑"/>
      <charset val="1"/>
      <family val="0"/>
      <color rgb="FF000000"/>
      <sz val="10"/>
    </font>
    <font>
      <name val="微软雅黑"/>
      <charset val="1"/>
      <family val="0"/>
      <b val="1"/>
      <color rgb="FF000000"/>
      <sz val="11"/>
    </font>
    <font>
      <name val="Noto Sans CJK SC"/>
      <family val="2"/>
      <b val="1"/>
      <color rgb="FF000000"/>
      <sz val="11"/>
    </font>
    <font>
      <name val="Noto Sans CJK SC"/>
      <family val="2"/>
      <color rgb="FF000000"/>
      <sz val="10"/>
    </font>
    <font>
      <name val="Noto Sans CJK SC"/>
      <family val="2"/>
      <b val="1"/>
      <color rgb="FF7030A0"/>
      <sz val="10"/>
    </font>
    <font>
      <name val="微软雅黑"/>
      <charset val="1"/>
      <family val="0"/>
      <b val="1"/>
      <color rgb="FF7030A0"/>
      <sz val="10"/>
    </font>
    <font>
      <name val="Noto Sans CJK SC"/>
      <family val="2"/>
      <i val="1"/>
      <color rgb="FF808080"/>
      <sz val="9"/>
    </font>
    <font>
      <name val="微软雅黑"/>
      <charset val="1"/>
      <family val="0"/>
      <i val="1"/>
      <color rgb="FF808080"/>
      <sz val="9"/>
    </font>
    <font>
      <name val="Noto Sans CJK SC"/>
      <family val="2"/>
      <b val="1"/>
      <color rgb="FFFFFFFF"/>
      <sz val="9"/>
    </font>
    <font>
      <name val="微软雅黑"/>
      <charset val="1"/>
      <family val="0"/>
      <b val="1"/>
      <color rgb="FFFFFFFF"/>
      <sz val="9"/>
    </font>
    <font>
      <name val="微软雅黑"/>
      <charset val="1"/>
      <family val="0"/>
      <color rgb="FF000000"/>
      <sz val="9"/>
    </font>
    <font>
      <name val="Noto Sans CJK SC"/>
      <family val="2"/>
      <color rgb="FF000000"/>
      <sz val="9"/>
    </font>
    <font>
      <name val="Arial"/>
      <family val="2"/>
      <sz val="10"/>
    </font>
    <font>
      <name val="Noto Sans CJK SC"/>
      <family val="2"/>
      <sz val="10"/>
    </font>
    <font>
      <name val="Noto Sans CJK SC"/>
      <family val="2"/>
      <b val="1"/>
      <color rgb="FF000000"/>
      <sz val="10"/>
    </font>
    <font>
      <name val="微软雅黑"/>
      <charset val="1"/>
      <family val="0"/>
      <b val="1"/>
      <color rgb="FF000000"/>
      <sz val="10"/>
    </font>
    <font>
      <name val="微软雅黑"/>
      <charset val="1"/>
      <family val="0"/>
      <color rgb="FF0000FF"/>
      <sz val="10"/>
    </font>
    <font>
      <name val="微软雅黑"/>
      <sz val="10"/>
    </font>
    <font>
      <name val="微软雅黑"/>
      <sz val="9"/>
    </font>
  </fonts>
  <fills count="11">
    <fill>
      <patternFill/>
    </fill>
    <fill>
      <patternFill patternType="gray125"/>
    </fill>
    <fill>
      <patternFill patternType="solid">
        <fgColor rgb="FF1F3864"/>
        <bgColor rgb="FF333333"/>
      </patternFill>
    </fill>
    <fill>
      <patternFill patternType="solid">
        <fgColor rgb="FFD9E2F3"/>
        <bgColor rgb="FFDDEBF7"/>
      </patternFill>
    </fill>
    <fill>
      <patternFill patternType="solid">
        <fgColor rgb="FFF2F2F2"/>
        <bgColor rgb="FFEDE7F6"/>
      </patternFill>
    </fill>
    <fill>
      <patternFill patternType="solid">
        <fgColor rgb="FFFFF2CC"/>
        <bgColor rgb="FFFCE4D6"/>
      </patternFill>
    </fill>
    <fill>
      <patternFill patternType="solid">
        <fgColor rgb="FFE2EFDA"/>
        <bgColor rgb="FFDDEBF7"/>
      </patternFill>
    </fill>
    <fill>
      <patternFill patternType="solid">
        <fgColor rgb="FFFFC7CE"/>
        <bgColor rgb="FFFCE4D6"/>
      </patternFill>
    </fill>
    <fill>
      <patternFill patternType="solid">
        <fgColor rgb="FFFFEB9C"/>
        <bgColor rgb="FFFFF2CC"/>
      </patternFill>
    </fill>
    <fill>
      <patternFill patternType="solid">
        <fgColor rgb="FFDDEBF7"/>
        <bgColor rgb="FFD9E2F3"/>
      </patternFill>
    </fill>
    <fill>
      <patternFill patternType="solid">
        <fgColor rgb="FFEDE7F6"/>
        <bgColor rgb="FFF2F2F2"/>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2" fillId="0" borderId="0" applyAlignment="1" pivotButton="0" quotePrefix="0" xfId="0">
      <alignment horizontal="general" vertical="bottom"/>
    </xf>
    <xf numFmtId="0" fontId="11" fillId="0" borderId="0" applyAlignment="1" pivotButton="0" quotePrefix="0" xfId="0">
      <alignment horizontal="general" vertical="bottom"/>
    </xf>
    <xf numFmtId="0" fontId="5" fillId="0" borderId="0" applyAlignment="1" pivotButton="0" quotePrefix="0" xfId="0">
      <alignment horizontal="general" vertical="bottom"/>
    </xf>
    <xf numFmtId="0" fontId="14" fillId="0" borderId="0" applyAlignment="1" pivotButton="0" quotePrefix="0" xfId="0">
      <alignment horizontal="general" vertical="bottom"/>
    </xf>
    <xf numFmtId="0" fontId="16" fillId="2" borderId="1" applyAlignment="1" pivotButton="0" quotePrefix="0" xfId="0">
      <alignment horizontal="center" vertical="center" wrapText="1"/>
    </xf>
    <xf numFmtId="0" fontId="18" fillId="0" borderId="1" applyAlignment="1" pivotButton="0" quotePrefix="0" xfId="0">
      <alignment horizontal="general" vertical="top" wrapText="1"/>
    </xf>
    <xf numFmtId="0" fontId="19" fillId="0" borderId="1" applyAlignment="1" pivotButton="0" quotePrefix="0" xfId="0">
      <alignment horizontal="general" vertical="top" wrapText="1"/>
    </xf>
    <xf numFmtId="164" fontId="18" fillId="0" borderId="1" applyAlignment="1" pivotButton="0" quotePrefix="0" xfId="0">
      <alignment horizontal="general" vertical="top" wrapText="1"/>
    </xf>
    <xf numFmtId="0" fontId="10" fillId="3" borderId="1" applyAlignment="1" pivotButton="0" quotePrefix="0" xfId="0">
      <alignment horizontal="center" vertical="center" wrapText="1"/>
    </xf>
    <xf numFmtId="0" fontId="22"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22" fillId="0" borderId="1" applyAlignment="1" pivotButton="0" quotePrefix="0" xfId="0">
      <alignment horizontal="general" vertical="bottom"/>
    </xf>
    <xf numFmtId="0" fontId="24" fillId="5" borderId="1" applyAlignment="1" pivotButton="0" quotePrefix="0" xfId="0">
      <alignment horizontal="center" vertical="center" wrapText="1"/>
    </xf>
    <xf numFmtId="0" fontId="23" fillId="0" borderId="1" applyAlignment="1" pivotButton="0" quotePrefix="0" xfId="0">
      <alignment horizontal="general" vertical="bottom"/>
    </xf>
    <xf numFmtId="0" fontId="11" fillId="4" borderId="1" applyAlignment="1" pivotButton="0" quotePrefix="0" xfId="0">
      <alignment horizontal="general" vertical="center" wrapText="1"/>
    </xf>
    <xf numFmtId="0" fontId="15" fillId="0" borderId="0" applyAlignment="1" pivotButton="0" quotePrefix="0" xfId="0">
      <alignment horizontal="general" vertical="bottom"/>
    </xf>
    <xf numFmtId="0" fontId="18"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18" fillId="6" borderId="1" applyAlignment="1" pivotButton="0" quotePrefix="0" xfId="0">
      <alignment horizontal="center" vertical="center" wrapText="1"/>
    </xf>
    <xf numFmtId="0" fontId="19" fillId="6" borderId="1" applyAlignment="1" pivotButton="0" quotePrefix="0" xfId="0">
      <alignment horizontal="general" vertical="top" wrapText="1"/>
    </xf>
    <xf numFmtId="0" fontId="18" fillId="6" borderId="1" applyAlignment="1" pivotButton="0" quotePrefix="0" xfId="0">
      <alignment horizontal="general" vertical="top" wrapText="1"/>
    </xf>
    <xf numFmtId="0" fontId="19" fillId="6" borderId="1" applyAlignment="1" pivotButton="0" quotePrefix="0" xfId="0">
      <alignment horizontal="center" vertical="center" wrapText="1"/>
    </xf>
    <xf numFmtId="0" fontId="14" fillId="0" borderId="0" applyAlignment="1" pivotButton="0" quotePrefix="0" xfId="0">
      <alignment horizontal="general" vertical="top" wrapText="1"/>
    </xf>
    <xf numFmtId="0" fontId="11"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22"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8" fillId="7" borderId="1" applyAlignment="1" pivotButton="0" quotePrefix="0" xfId="0">
      <alignment horizontal="general" vertical="top" wrapText="1"/>
    </xf>
    <xf numFmtId="0" fontId="19" fillId="7" borderId="1" applyAlignment="1" pivotButton="0" quotePrefix="0" xfId="0">
      <alignment horizontal="general" vertical="top" wrapText="1"/>
    </xf>
    <xf numFmtId="0" fontId="18" fillId="8" borderId="1" applyAlignment="1" pivotButton="0" quotePrefix="0" xfId="0">
      <alignment horizontal="general" vertical="top" wrapText="1"/>
    </xf>
    <xf numFmtId="0" fontId="19" fillId="8" borderId="1" applyAlignment="1" pivotButton="0" quotePrefix="0" xfId="0">
      <alignment horizontal="general" vertical="top" wrapText="1"/>
    </xf>
    <xf numFmtId="0" fontId="18" fillId="9" borderId="1" applyAlignment="1" pivotButton="0" quotePrefix="0" xfId="0">
      <alignment horizontal="general" vertical="top" wrapText="1"/>
    </xf>
    <xf numFmtId="0" fontId="19" fillId="9" borderId="1" applyAlignment="1" pivotButton="0" quotePrefix="0" xfId="0">
      <alignment horizontal="general" vertical="top" wrapText="1"/>
    </xf>
    <xf numFmtId="0" fontId="18" fillId="10" borderId="1" applyAlignment="1" pivotButton="0" quotePrefix="0" xfId="0">
      <alignment horizontal="general" vertical="top" wrapText="1"/>
    </xf>
    <xf numFmtId="0" fontId="19" fillId="1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2" fillId="0" borderId="0" applyAlignment="1" pivotButton="0" quotePrefix="0" xfId="0">
      <alignment horizontal="general" vertical="bottom"/>
    </xf>
    <xf numFmtId="0" fontId="11" fillId="0" borderId="0" applyAlignment="1" pivotButton="0" quotePrefix="0" xfId="0">
      <alignment horizontal="general" vertical="bottom"/>
    </xf>
    <xf numFmtId="0" fontId="5" fillId="0" borderId="0" applyAlignment="1" pivotButton="0" quotePrefix="0" xfId="0">
      <alignment horizontal="general" vertical="bottom"/>
    </xf>
    <xf numFmtId="0" fontId="14" fillId="0" borderId="0" applyAlignment="1" pivotButton="0" quotePrefix="0" xfId="0">
      <alignment horizontal="general" vertical="bottom"/>
    </xf>
    <xf numFmtId="0" fontId="16" fillId="2" borderId="1" applyAlignment="1" pivotButton="0" quotePrefix="0" xfId="0">
      <alignment horizontal="center" vertical="center" wrapText="1"/>
    </xf>
    <xf numFmtId="0" fontId="18" fillId="0" borderId="1" applyAlignment="1" pivotButton="0" quotePrefix="0" xfId="0">
      <alignment horizontal="general" vertical="top" wrapText="1"/>
    </xf>
    <xf numFmtId="0" fontId="19" fillId="0" borderId="1" applyAlignment="1" pivotButton="0" quotePrefix="0" xfId="0">
      <alignment horizontal="general" vertical="top" wrapText="1"/>
    </xf>
    <xf numFmtId="164" fontId="18" fillId="0" borderId="1" applyAlignment="1" pivotButton="0" quotePrefix="0" xfId="0">
      <alignment horizontal="general" vertical="top" wrapText="1"/>
    </xf>
    <xf numFmtId="0" fontId="10" fillId="3" borderId="1" applyAlignment="1" pivotButton="0" quotePrefix="0" xfId="0">
      <alignment horizontal="center" vertical="center" wrapText="1"/>
    </xf>
    <xf numFmtId="0" fontId="22" fillId="3" borderId="1" applyAlignment="1" pivotButton="0" quotePrefix="0" xfId="0">
      <alignment horizontal="center" vertical="center" wrapText="1"/>
    </xf>
    <xf numFmtId="0" fontId="8" fillId="4" borderId="1" applyAlignment="1" pivotButton="0" quotePrefix="0" xfId="0">
      <alignment horizontal="center" vertical="center" wrapText="1"/>
    </xf>
    <xf numFmtId="0" fontId="22" fillId="0" borderId="1" applyAlignment="1" pivotButton="0" quotePrefix="0" xfId="0">
      <alignment horizontal="general" vertical="bottom"/>
    </xf>
    <xf numFmtId="0" fontId="24" fillId="5" borderId="1" applyAlignment="1" pivotButton="0" quotePrefix="0" xfId="0">
      <alignment horizontal="center" vertical="center" wrapText="1"/>
    </xf>
    <xf numFmtId="0" fontId="23" fillId="0" borderId="1" applyAlignment="1" pivotButton="0" quotePrefix="0" xfId="0">
      <alignment horizontal="general" vertical="bottom"/>
    </xf>
    <xf numFmtId="0" fontId="11" fillId="4" borderId="1" applyAlignment="1" pivotButton="0" quotePrefix="0" xfId="0">
      <alignment horizontal="general" vertical="center" wrapText="1"/>
    </xf>
    <xf numFmtId="0" fontId="0" fillId="0" borderId="4" pivotButton="0" quotePrefix="0" xfId="0"/>
    <xf numFmtId="0" fontId="0" fillId="0" borderId="5" pivotButton="0" quotePrefix="0" xfId="0"/>
    <xf numFmtId="0" fontId="15" fillId="0" borderId="0" applyAlignment="1" pivotButton="0" quotePrefix="0" xfId="0">
      <alignment horizontal="general" vertical="bottom"/>
    </xf>
    <xf numFmtId="0" fontId="18" fillId="0" borderId="1" applyAlignment="1" pivotButton="0" quotePrefix="0" xfId="0">
      <alignment horizontal="center" vertical="center" wrapText="1"/>
    </xf>
    <xf numFmtId="0" fontId="19" fillId="0" borderId="1" applyAlignment="1" pivotButton="0" quotePrefix="0" xfId="0">
      <alignment horizontal="center" vertical="center" wrapText="1"/>
    </xf>
    <xf numFmtId="0" fontId="18" fillId="6" borderId="1" applyAlignment="1" pivotButton="0" quotePrefix="0" xfId="0">
      <alignment horizontal="center" vertical="center" wrapText="1"/>
    </xf>
    <xf numFmtId="0" fontId="19" fillId="6" borderId="1" applyAlignment="1" pivotButton="0" quotePrefix="0" xfId="0">
      <alignment horizontal="general" vertical="top" wrapText="1"/>
    </xf>
    <xf numFmtId="0" fontId="18" fillId="6" borderId="1" applyAlignment="1" pivotButton="0" quotePrefix="0" xfId="0">
      <alignment horizontal="general" vertical="top" wrapText="1"/>
    </xf>
    <xf numFmtId="0" fontId="19" fillId="6" borderId="1" applyAlignment="1" pivotButton="0" quotePrefix="0" xfId="0">
      <alignment horizontal="center" vertical="center" wrapText="1"/>
    </xf>
    <xf numFmtId="0" fontId="14" fillId="0" borderId="0" applyAlignment="1" pivotButton="0" quotePrefix="0" xfId="0">
      <alignment horizontal="general" vertical="top" wrapText="1"/>
    </xf>
    <xf numFmtId="0" fontId="11"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25" fillId="0" borderId="6" pivotButton="0" quotePrefix="0" xfId="0"/>
    <xf numFmtId="0" fontId="22"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8" fillId="7" borderId="1" applyAlignment="1" pivotButton="0" quotePrefix="0" xfId="0">
      <alignment horizontal="general" vertical="top" wrapText="1"/>
    </xf>
    <xf numFmtId="0" fontId="19" fillId="7" borderId="1" applyAlignment="1" pivotButton="0" quotePrefix="0" xfId="0">
      <alignment horizontal="general" vertical="top" wrapText="1"/>
    </xf>
    <xf numFmtId="0" fontId="18" fillId="8" borderId="1" applyAlignment="1" pivotButton="0" quotePrefix="0" xfId="0">
      <alignment horizontal="general" vertical="top" wrapText="1"/>
    </xf>
    <xf numFmtId="0" fontId="19" fillId="8" borderId="1" applyAlignment="1" pivotButton="0" quotePrefix="0" xfId="0">
      <alignment horizontal="general" vertical="top" wrapText="1"/>
    </xf>
    <xf numFmtId="0" fontId="18" fillId="9" borderId="1" applyAlignment="1" pivotButton="0" quotePrefix="0" xfId="0">
      <alignment horizontal="general" vertical="top" wrapText="1"/>
    </xf>
    <xf numFmtId="0" fontId="19" fillId="9" borderId="1" applyAlignment="1" pivotButton="0" quotePrefix="0" xfId="0">
      <alignment horizontal="general" vertical="top" wrapText="1"/>
    </xf>
    <xf numFmtId="0" fontId="18" fillId="10" borderId="1" applyAlignment="1" pivotButton="0" quotePrefix="0" xfId="0">
      <alignment horizontal="general" vertical="top" wrapText="1"/>
    </xf>
    <xf numFmtId="0" fontId="19" fillId="10" borderId="1" applyAlignment="1" pivotButton="0" quotePrefix="0" xfId="0">
      <alignment horizontal="general" vertical="top" wrapText="1"/>
    </xf>
    <xf numFmtId="0" fontId="26" fillId="0" borderId="6"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bgColor rgb="FFFFEB9C"/>
        </patternFill>
      </fill>
    </dxf>
    <dxf>
      <fill>
        <patternFill>
          <bgColor rgb="FFFCE4D6"/>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E2EFDA"/>
      <rgbColor rgb="FFFFEB9C"/>
      <rgbColor rgb="FFEDE7F6"/>
      <rgbColor rgb="FFFCE4D6"/>
      <rgbColor rgb="FFCC99FF"/>
      <rgbColor rgb="FFFFC7CE"/>
      <rgbColor rgb="FF2E75B6"/>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Unknown Author</author>
  </authors>
  <commentList>
    <comment ref="L4" authorId="0" shapeId="0">
      <text>
        <t>1–5星:与海洋能源内容的关联密切程度,已经教师核对。≥4星由2名学生同时录入。</t>
      </text>
    </comment>
    <comment ref="M4" authorId="0" shapeId="0">
      <text>
        <t>学生任务字段:下拉列表取自本表文件名称列,标注本文件沿袭/取代/配套的另一份文件。已填20条为教师示范。</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FF1F3864"/>
    <outlinePr summaryBelow="1" summaryRight="1"/>
    <pageSetUpPr fitToPage="0"/>
  </sheetPr>
  <dimension ref="A1:A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41" min="1" max="1"/>
  </cols>
  <sheetData>
    <row r="1" ht="21.6" customHeight="1" s="42">
      <c r="A1" s="43" t="inlineStr">
        <is>
          <t>《数据处理与分析》课程 · Day1–Day2 工作底稿 v0.5</t>
        </is>
      </c>
    </row>
    <row r="2" ht="17.15" customHeight="1" s="42">
      <c r="A2" s="44" t="inlineStr">
        <is>
          <t>海洋能源法领域地图 + 数据标注规范  |  85 份规范已录入</t>
        </is>
      </c>
    </row>
    <row r="3" ht="15" customHeight="1" s="42">
      <c r="A3" s="45" t="n"/>
    </row>
    <row r="4" ht="17.15" customHeight="1" s="42">
      <c r="A4" s="46" t="inlineStr">
        <is>
          <t>■ v0.5 相对 v0.3 的变更</t>
        </is>
      </c>
    </row>
    <row r="5" ht="15" customHeight="1" s="42">
      <c r="A5" s="45" t="inlineStr">
        <is>
          <t>a. 主题标签「电力基础设施」更名「能源基础设施」:涵盖电网并网、海底电缆与油气管线、氢能储能——电只是转化方向之一</t>
        </is>
      </c>
    </row>
    <row r="6" ht="15" customHeight="1" s="42">
      <c r="A6" s="45" t="inlineStr">
        <is>
          <t>b. 清单按 核心程度(高→低)→ 位阶(法律→政策文件)→ 施行日期(新→旧) 重排,序号重编</t>
        </is>
      </c>
    </row>
    <row r="7" ht="15" customHeight="1" s="42">
      <c r="A7" s="45" t="inlineStr">
        <is>
          <t>c. 主/次标签与核心程度已经教师核对,紫色底纹取消;「关联规范」转为学生任务字段,已填20条为教师示范</t>
        </is>
      </c>
    </row>
    <row r="8" ht="15" customHeight="1" s="42">
      <c r="A8" s="45" t="inlineStr">
        <is>
          <t>d. 学生人数按实际名单更新为52;总工作量1198人条,产能1300,余量102</t>
        </is>
      </c>
    </row>
    <row r="9" ht="15" customHeight="1" s="42">
      <c r="A9" s="45" t="n"/>
    </row>
    <row r="10" ht="17.15" customHeight="1" s="42">
      <c r="A10" s="46" t="inlineStr">
        <is>
          <t>■ v0.3 相对 v0.2 的变更</t>
        </is>
      </c>
    </row>
    <row r="11" ht="15" customHeight="1" s="42">
      <c r="A11" s="45" t="inlineStr">
        <is>
          <t>A. 规范清单新增「区域」列(国家/11沿海省市):国家层与地方层共用一张表,机器比对央地规范只需筛选此列</t>
        </is>
      </c>
    </row>
    <row r="12" ht="15" customHeight="1" s="42">
      <c r="A12" s="45" t="inlineStr">
        <is>
          <t>B. 字段定义新增镜像字段对:「央地权限配置」(国家层条目填)与「地方自主权类型」(地方层条目填),定义见受控词表</t>
        </is>
      </c>
    </row>
    <row r="13" ht="15" customHeight="1" s="42">
      <c r="A13" s="45" t="inlineStr">
        <is>
          <t>C. 人均条目数上调为25;容量校验改按「产能 vs 总工作量(唯一条目+双人复核增量)」核算</t>
        </is>
      </c>
    </row>
    <row r="14" ht="15" customHeight="1" s="42">
      <c r="A14" s="45" t="inlineStr">
        <is>
          <t>D. 地方层数据本期不采集,列入公开路线图;Schema 已就绪,未来零重构接入</t>
        </is>
      </c>
    </row>
    <row r="15" ht="15" customHeight="1" s="42">
      <c r="A15" s="45" t="n"/>
    </row>
    <row r="16" ht="17.15" customHeight="1" s="42">
      <c r="A16" s="46" t="inlineStr">
        <is>
          <t>■ v0.2 相对 v0.1 的变更</t>
        </is>
      </c>
    </row>
    <row r="17" ht="15" customHeight="1" s="42">
      <c r="A17" s="45" t="inlineStr">
        <is>
          <t>1. 主题标签重构为九类(见【受控词表】的标签定义表),由旧的七类流程型标签改为对象型标签</t>
        </is>
      </c>
    </row>
    <row r="18" ht="15" customHeight="1" s="42">
      <c r="A18" s="45" t="inlineStr">
        <is>
          <t>2. 位阶:「地方性法规」替换为「地方立法」(涵盖地方性法规与地方政府规章;现有85份均为中央层面,零迁移成本)</t>
        </is>
      </c>
    </row>
    <row r="19" ht="15" customHeight="1" s="42">
      <c r="A19" s="45" t="inlineStr">
        <is>
          <t>3. 发布机关列更名为「发布机关/牵头机关」,词表增设:财政部、国土资源部(已并入自然资源部)</t>
        </is>
      </c>
    </row>
    <row r="20" ht="15" customHeight="1" s="42">
      <c r="A20" s="45" t="inlineStr">
        <is>
          <t>4. 线索来源增设:国家行政法规数据库</t>
        </is>
      </c>
    </row>
    <row r="21" ht="15" customHeight="1" s="42">
      <c r="A21" s="45" t="inlineStr">
        <is>
          <t>5. 规范清单新增「核心程度」列(1–5星):4星及以上的规范由2名学生同时录入,交叉复核</t>
        </is>
      </c>
    </row>
    <row r="22" ht="15" customHeight="1" s="42">
      <c r="A22" s="45" t="inlineStr">
        <is>
          <t>6. 规范清单新增「关联规范」列:单链指向另一份文件,标识沿袭/配套关系(下拉列表取自文件名称列)</t>
        </is>
      </c>
    </row>
    <row r="23" ht="15" customHeight="1" s="42">
      <c r="A23" s="45" t="inlineStr">
        <is>
          <t>7. 文号:法律可不填;建议明确写「无文号」以区别于漏填</t>
        </is>
      </c>
    </row>
    <row r="24" ht="15" customHeight="1" s="42">
      <c r="A24" s="45" t="inlineStr">
        <is>
          <t>8. 行为模式类型增设「指导性」;条文定位允许「第X段」(政策文件适用)</t>
        </is>
      </c>
    </row>
    <row r="25" ht="15" customHeight="1" s="42">
      <c r="A25" s="45" t="inlineStr">
        <is>
          <t>9. 清洗了 5 处从网页复制带来的不可见字符(零宽空格、制表符、不换行空格)</t>
        </is>
      </c>
    </row>
    <row r="26" ht="15" customHeight="1" s="42">
      <c r="A26" s="45" t="n"/>
    </row>
    <row r="27" ht="17.15" customHeight="1" s="42">
      <c r="A27" s="47" t="inlineStr">
        <is>
          <t>■ 紫色底纹 = AI 建议初值,须逐行复核</t>
        </is>
      </c>
    </row>
    <row r="28" ht="15" customHeight="1" s="42">
      <c r="A28" s="48" t="inlineStr">
        <is>
          <t>主题标签(主/次)、核心程度、关联规范三类内容为 AI 根据文件名称与你的备注推断的草稿。</t>
        </is>
      </c>
    </row>
    <row r="29" ht="15" customHeight="1" s="42">
      <c r="A29" s="49" t="inlineStr">
        <is>
          <t>你复核确认一行,就把该行紫色底纹清除(开始→填充颜色→无填充),以此追踪复核进度。</t>
        </is>
      </c>
    </row>
    <row r="30" ht="15" customHeight="1" s="42">
      <c r="A30" s="45" t="n"/>
    </row>
    <row r="31" ht="15" customHeight="1" s="42">
      <c r="A31" s="47" t="inlineStr">
        <is>
          <t>■ 颜色约定</t>
        </is>
      </c>
    </row>
    <row r="32" ht="15" customHeight="1" s="42">
      <c r="A32" s="49" t="inlineStr">
        <is>
          <t>黄底蓝字 = 手工输入区    灰底 = 公式区,勿覆盖    橙色 = 核心程度≥4星(双人录入)</t>
        </is>
      </c>
    </row>
    <row r="33" ht="15" customHeight="1" s="42">
      <c r="A33" s="45" t="n"/>
    </row>
    <row r="34" ht="17.15" customHeight="1" s="42">
      <c r="A34" s="47" t="inlineStr">
        <is>
          <t>■ 工作顺序(更新)</t>
        </is>
      </c>
    </row>
    <row r="35" ht="15" customHeight="1" s="42">
      <c r="A35" s="49" t="inlineStr">
        <is>
          <t>① 逐行复核紫色区域的标签、星级与关联 → ② 查看【领域地图】九类矩阵的红/黄格,决定地方立法层的补充方向</t>
        </is>
      </c>
    </row>
    <row r="36" ht="15" customHeight="1" s="42">
      <c r="A36" s="49" t="inlineStr">
        <is>
          <t>③ 据矩阵与容量校验结果调整认领方案 → ④ 确认【字段定义】v0.2 后,同步更新 Day3 学生模板</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R20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6" customWidth="1" style="41" min="1" max="1"/>
    <col width="38" customWidth="1" style="41" min="2" max="2"/>
    <col width="22" customWidth="1" style="41" min="3" max="3"/>
    <col width="11" customWidth="1" style="41" min="4" max="4"/>
    <col width="9" customWidth="1" style="41" min="5" max="5"/>
    <col width="20" customWidth="1" style="41" min="6" max="6"/>
    <col width="12" customWidth="1" style="41" min="7" max="8"/>
    <col width="10" customWidth="1" style="41" min="9" max="9"/>
    <col width="16" customWidth="1" style="41" min="10" max="11"/>
    <col width="10" customWidth="1" style="41" min="12" max="12"/>
    <col width="30" customWidth="1" style="41" min="13" max="13"/>
    <col width="10" customWidth="1" style="41" min="14" max="14"/>
    <col width="8" customWidth="1" style="41" min="15" max="15"/>
    <col width="10" customWidth="1" style="41" min="16" max="16"/>
    <col width="16" customWidth="1" style="41" min="17" max="17"/>
    <col width="30" customWidth="1" style="41" min="18" max="18"/>
  </cols>
  <sheetData>
    <row r="1" ht="21.6" customHeight="1" s="42">
      <c r="A1" s="50" t="inlineStr">
        <is>
          <t>Day1 · 海洋能源法规范清单(唯一数据源·国家层+地方层共用) v0.5</t>
        </is>
      </c>
    </row>
    <row r="2" ht="15" customHeight="1" s="42">
      <c r="A2" s="51" t="inlineStr">
        <is>
          <t>主/次标签与核心程度已经教师核对定稿。排序:核心程度(高→低)→位阶→施行日期(新→旧)。</t>
        </is>
      </c>
    </row>
    <row r="3" ht="15" customHeight="1" s="42">
      <c r="A3" s="51" t="inlineStr">
        <is>
          <t>核心程度≥4星(橙色行)由 2 名学生同时录入。「关联规范」为学生任务字段:标注本文件沿袭/取代/配套的另一份文件(单链),已填的20条为教师示范。</t>
        </is>
      </c>
    </row>
    <row r="4" ht="31.5" customHeight="1" s="42">
      <c r="A4" s="52" t="inlineStr">
        <is>
          <t>序号</t>
        </is>
      </c>
      <c r="B4" s="52" t="inlineStr">
        <is>
          <t>文件名称(全称)</t>
        </is>
      </c>
      <c r="C4" s="52" t="inlineStr">
        <is>
          <t>文号</t>
        </is>
      </c>
      <c r="D4" s="52" t="inlineStr">
        <is>
          <t>位阶</t>
        </is>
      </c>
      <c r="E4" s="52" t="inlineStr">
        <is>
          <t>区域</t>
        </is>
      </c>
      <c r="F4" s="52" t="inlineStr">
        <is>
          <t>发布机关/牵头机关</t>
        </is>
      </c>
      <c r="G4" s="52" t="inlineStr">
        <is>
          <t>公布日期</t>
        </is>
      </c>
      <c r="H4" s="52" t="inlineStr">
        <is>
          <t>施行日期</t>
        </is>
      </c>
      <c r="I4" s="52" t="inlineStr">
        <is>
          <t>效力状态</t>
        </is>
      </c>
      <c r="J4" s="52" t="inlineStr">
        <is>
          <t>主题标签(主)</t>
        </is>
      </c>
      <c r="K4" s="52" t="inlineStr">
        <is>
          <t>主题标签(次)</t>
        </is>
      </c>
      <c r="L4" s="52" t="inlineStr">
        <is>
          <t>核心程度(1-5星)</t>
        </is>
      </c>
      <c r="M4" s="52" t="inlineStr">
        <is>
          <t>关联规范</t>
        </is>
      </c>
      <c r="N4" s="52" t="inlineStr">
        <is>
          <t>预估可拆条目数</t>
        </is>
      </c>
      <c r="O4" s="52" t="inlineStr">
        <is>
          <t>难度等级</t>
        </is>
      </c>
      <c r="P4" s="52" t="inlineStr">
        <is>
          <t>已回数据库核实</t>
        </is>
      </c>
      <c r="Q4" s="52" t="inlineStr">
        <is>
          <t>线索来源</t>
        </is>
      </c>
      <c r="R4" s="52" t="inlineStr">
        <is>
          <t>备注</t>
        </is>
      </c>
    </row>
    <row r="5" ht="26.85" customHeight="1" s="42">
      <c r="A5" s="53" t="n">
        <v>1</v>
      </c>
      <c r="B5" s="54" t="inlineStr">
        <is>
          <t>中华人民共和国可再生能源法</t>
        </is>
      </c>
      <c r="C5" s="54" t="inlineStr">
        <is>
          <t>无文号</t>
        </is>
      </c>
      <c r="D5" s="54" t="inlineStr">
        <is>
          <t>法律</t>
        </is>
      </c>
      <c r="E5" s="54" t="inlineStr">
        <is>
          <t>国家</t>
        </is>
      </c>
      <c r="F5" s="54" t="inlineStr">
        <is>
          <t>全国人大及其常委会</t>
        </is>
      </c>
      <c r="G5" s="55" t="n">
        <v>40173</v>
      </c>
      <c r="H5" s="55" t="n">
        <v>40269</v>
      </c>
      <c r="I5" s="54" t="inlineStr">
        <is>
          <t>现行有效</t>
        </is>
      </c>
      <c r="J5" s="54" t="inlineStr">
        <is>
          <t>海洋可再生能源</t>
        </is>
      </c>
      <c r="K5" s="54" t="inlineStr">
        <is>
          <t>价格、财税与市场机制</t>
        </is>
      </c>
      <c r="L5" s="53" t="n">
        <v>5</v>
      </c>
      <c r="M5" s="53" t="n"/>
      <c r="N5" s="54" t="n">
        <v>18</v>
      </c>
      <c r="O5" s="54" t="inlineStr">
        <is>
          <t>中</t>
        </is>
      </c>
      <c r="P5" s="54" t="inlineStr">
        <is>
          <t>是</t>
        </is>
      </c>
      <c r="Q5" s="54" t="inlineStr">
        <is>
          <t>国家法律法规数据库</t>
        </is>
      </c>
      <c r="R5" s="54" t="n"/>
    </row>
    <row r="6" ht="26.85" customHeight="1" s="42">
      <c r="A6" s="53" t="n">
        <v>2</v>
      </c>
      <c r="B6" s="54" t="inlineStr">
        <is>
          <t>中华人民共和国海域使用管理法</t>
        </is>
      </c>
      <c r="C6" s="54" t="inlineStr">
        <is>
          <t>中华人民共和国主席令（第六十一号）</t>
        </is>
      </c>
      <c r="D6" s="54" t="inlineStr">
        <is>
          <t>法律</t>
        </is>
      </c>
      <c r="E6" s="54" t="inlineStr">
        <is>
          <t>国家</t>
        </is>
      </c>
      <c r="F6" s="54" t="inlineStr">
        <is>
          <t>全国人大及其常委会</t>
        </is>
      </c>
      <c r="G6" s="55" t="n">
        <v>37191</v>
      </c>
      <c r="H6" s="55" t="n">
        <v>37257</v>
      </c>
      <c r="I6" s="54" t="inlineStr">
        <is>
          <t>现行有效</t>
        </is>
      </c>
      <c r="J6" s="54" t="inlineStr">
        <is>
          <t>海洋空间与用海管理</t>
        </is>
      </c>
      <c r="K6" s="54" t="inlineStr">
        <is>
          <t>价格、财税与市场机制</t>
        </is>
      </c>
      <c r="L6" s="53" t="n">
        <v>5</v>
      </c>
      <c r="M6" s="53" t="n"/>
      <c r="N6" s="54" t="n">
        <v>30</v>
      </c>
      <c r="O6" s="54" t="inlineStr">
        <is>
          <t>中</t>
        </is>
      </c>
      <c r="P6" s="54" t="inlineStr">
        <is>
          <t>是</t>
        </is>
      </c>
      <c r="Q6" s="54" t="inlineStr">
        <is>
          <t>发布机关官网</t>
        </is>
      </c>
      <c r="R6" s="54" t="n"/>
    </row>
    <row r="7" ht="15" customHeight="1" s="42">
      <c r="A7" s="53" t="n">
        <v>3</v>
      </c>
      <c r="B7" s="54" t="inlineStr">
        <is>
          <t>关于推动海洋能规模化利用的指导意见</t>
        </is>
      </c>
      <c r="C7" s="54" t="inlineStr">
        <is>
          <t>自然资发〔2025〕34号</t>
        </is>
      </c>
      <c r="D7" s="54" t="inlineStr">
        <is>
          <t>政策文件</t>
        </is>
      </c>
      <c r="E7" s="54" t="inlineStr">
        <is>
          <t>国家</t>
        </is>
      </c>
      <c r="F7" s="54" t="inlineStr">
        <is>
          <t>自然资源部</t>
        </is>
      </c>
      <c r="G7" s="55" t="n">
        <v>45693</v>
      </c>
      <c r="H7" s="55" t="n">
        <v>45693</v>
      </c>
      <c r="I7" s="54" t="inlineStr">
        <is>
          <t>现行有效</t>
        </is>
      </c>
      <c r="J7" s="54" t="inlineStr">
        <is>
          <t>海洋可再生能源</t>
        </is>
      </c>
      <c r="K7" s="54" t="inlineStr">
        <is>
          <t>规划与区划</t>
        </is>
      </c>
      <c r="L7" s="53" t="n">
        <v>5</v>
      </c>
      <c r="M7" s="53" t="n"/>
      <c r="N7" s="54" t="n">
        <v>25</v>
      </c>
      <c r="O7" s="54" t="inlineStr">
        <is>
          <t>难</t>
        </is>
      </c>
      <c r="P7" s="54" t="inlineStr">
        <is>
          <t>是</t>
        </is>
      </c>
      <c r="Q7" s="54" t="inlineStr">
        <is>
          <t>发布机关官网</t>
        </is>
      </c>
      <c r="R7" s="54" t="n"/>
    </row>
    <row r="8" ht="26.85" customHeight="1" s="42">
      <c r="A8" s="53" t="n">
        <v>4</v>
      </c>
      <c r="B8" s="54" t="inlineStr">
        <is>
          <t>自然资源部关于进一步加强海上风电项目用海管理的通知</t>
        </is>
      </c>
      <c r="C8" s="54" t="inlineStr">
        <is>
          <t>无文号</t>
        </is>
      </c>
      <c r="D8" s="54" t="inlineStr">
        <is>
          <t>政策文件</t>
        </is>
      </c>
      <c r="E8" s="54" t="inlineStr">
        <is>
          <t>国家</t>
        </is>
      </c>
      <c r="F8" s="54" t="inlineStr">
        <is>
          <t>自然资源部</t>
        </is>
      </c>
      <c r="G8" s="55" t="n">
        <v>45656</v>
      </c>
      <c r="H8" s="55" t="n">
        <v>45656</v>
      </c>
      <c r="I8" s="54" t="inlineStr">
        <is>
          <t>现行有效</t>
        </is>
      </c>
      <c r="J8" s="54" t="inlineStr">
        <is>
          <t>海洋空间与用海管理</t>
        </is>
      </c>
      <c r="K8" s="54" t="inlineStr">
        <is>
          <t>海洋可再生能源</t>
        </is>
      </c>
      <c r="L8" s="53" t="n">
        <v>5</v>
      </c>
      <c r="M8" s="53" t="n"/>
      <c r="N8" s="54" t="n">
        <v>30</v>
      </c>
      <c r="O8" s="54" t="inlineStr">
        <is>
          <t>难</t>
        </is>
      </c>
      <c r="P8" s="54" t="inlineStr">
        <is>
          <t>是</t>
        </is>
      </c>
      <c r="Q8" s="54" t="inlineStr">
        <is>
          <t>发布机关官网</t>
        </is>
      </c>
      <c r="R8" s="54" t="n"/>
    </row>
    <row r="9" ht="26.85" customHeight="1" s="42">
      <c r="A9" s="53" t="n">
        <v>5</v>
      </c>
      <c r="B9" s="54" t="inlineStr">
        <is>
          <t>中华人民共和国能源法</t>
        </is>
      </c>
      <c r="C9" s="54" t="inlineStr">
        <is>
          <t>中华人民共和国主席令第37号</t>
        </is>
      </c>
      <c r="D9" s="54" t="inlineStr">
        <is>
          <t>法律</t>
        </is>
      </c>
      <c r="E9" s="54" t="inlineStr">
        <is>
          <t>国家</t>
        </is>
      </c>
      <c r="F9" s="54" t="inlineStr">
        <is>
          <t>全国人大及其常委会</t>
        </is>
      </c>
      <c r="G9" s="55" t="n">
        <v>45604</v>
      </c>
      <c r="H9" s="55" t="n">
        <v>45658</v>
      </c>
      <c r="I9" s="54" t="inlineStr">
        <is>
          <t>现行有效</t>
        </is>
      </c>
      <c r="J9" s="54" t="inlineStr">
        <is>
          <t>海洋可再生能源</t>
        </is>
      </c>
      <c r="K9" s="54" t="inlineStr">
        <is>
          <t>能源基础设施</t>
        </is>
      </c>
      <c r="L9" s="53" t="n">
        <v>4</v>
      </c>
      <c r="M9" s="53" t="n"/>
      <c r="N9" s="54" t="n">
        <v>5</v>
      </c>
      <c r="O9" s="54" t="inlineStr">
        <is>
          <t>易</t>
        </is>
      </c>
      <c r="P9" s="54" t="inlineStr">
        <is>
          <t>是</t>
        </is>
      </c>
      <c r="Q9" s="54" t="inlineStr">
        <is>
          <t>国家法律法规数据库</t>
        </is>
      </c>
      <c r="R9" s="54" t="n"/>
    </row>
    <row r="10" ht="15" customHeight="1" s="42">
      <c r="A10" s="53" t="n">
        <v>6</v>
      </c>
      <c r="B10" s="54" t="inlineStr">
        <is>
          <t>中华人民共和国海岛保护法</t>
        </is>
      </c>
      <c r="C10" s="54" t="inlineStr">
        <is>
          <t>无文号</t>
        </is>
      </c>
      <c r="D10" s="54" t="inlineStr">
        <is>
          <t>法律</t>
        </is>
      </c>
      <c r="E10" s="54" t="inlineStr">
        <is>
          <t>国家</t>
        </is>
      </c>
      <c r="F10" s="54" t="inlineStr">
        <is>
          <t>全国人大及其常委会</t>
        </is>
      </c>
      <c r="G10" s="55" t="n">
        <v>40173</v>
      </c>
      <c r="H10" s="55" t="n">
        <v>40238</v>
      </c>
      <c r="I10" s="54" t="inlineStr">
        <is>
          <t>现行有效</t>
        </is>
      </c>
      <c r="J10" s="54" t="inlineStr">
        <is>
          <t>生态环境与海岛保护</t>
        </is>
      </c>
      <c r="K10" s="54" t="inlineStr">
        <is>
          <t>海洋空间与用海管理</t>
        </is>
      </c>
      <c r="L10" s="53" t="n">
        <v>4</v>
      </c>
      <c r="M10" s="53" t="n"/>
      <c r="N10" s="54" t="n">
        <v>40</v>
      </c>
      <c r="O10" s="54" t="inlineStr">
        <is>
          <t>难</t>
        </is>
      </c>
      <c r="P10" s="54" t="inlineStr">
        <is>
          <t>是</t>
        </is>
      </c>
      <c r="Q10" s="54" t="inlineStr">
        <is>
          <t>国家法律法规数据库</t>
        </is>
      </c>
      <c r="R10" s="54" t="inlineStr">
        <is>
          <t>沿海省份地方条例，综合能源岛</t>
        </is>
      </c>
    </row>
    <row r="11" ht="15" customHeight="1" s="42">
      <c r="A11" s="53" t="n">
        <v>7</v>
      </c>
      <c r="B11" s="54" t="inlineStr">
        <is>
          <t>防治海洋工程建设项目污染损害海洋环境管理条例</t>
        </is>
      </c>
      <c r="C11" s="54" t="inlineStr">
        <is>
          <t>无文号</t>
        </is>
      </c>
      <c r="D11" s="54" t="inlineStr">
        <is>
          <t>行政法规</t>
        </is>
      </c>
      <c r="E11" s="54" t="inlineStr">
        <is>
          <t>国家</t>
        </is>
      </c>
      <c r="F11" s="54" t="inlineStr">
        <is>
          <t>国务院</t>
        </is>
      </c>
      <c r="G11" s="55" t="n">
        <v>43543</v>
      </c>
      <c r="H11" s="55" t="n">
        <v>43543</v>
      </c>
      <c r="I11" s="54" t="inlineStr">
        <is>
          <t>现行有效</t>
        </is>
      </c>
      <c r="J11" s="54" t="inlineStr">
        <is>
          <t>生态环境与海岛保护</t>
        </is>
      </c>
      <c r="K11" s="54" t="inlineStr">
        <is>
          <t>海洋可再生能源</t>
        </is>
      </c>
      <c r="L11" s="53" t="n">
        <v>4</v>
      </c>
      <c r="M11" s="53" t="n"/>
      <c r="N11" s="54" t="n">
        <v>40</v>
      </c>
      <c r="O11" s="54" t="inlineStr">
        <is>
          <t>中</t>
        </is>
      </c>
      <c r="P11" s="54" t="inlineStr">
        <is>
          <t>是</t>
        </is>
      </c>
      <c r="Q11" s="54" t="inlineStr">
        <is>
          <t>发布机关官网</t>
        </is>
      </c>
      <c r="R11" s="54" t="n"/>
    </row>
    <row r="12" ht="26.85" customHeight="1" s="42">
      <c r="A12" s="53" t="n">
        <v>8</v>
      </c>
      <c r="B12" s="54" t="inlineStr">
        <is>
          <t>中华人民共和国对外合作开采海洋石油资源条例</t>
        </is>
      </c>
      <c r="C12" s="54" t="inlineStr">
        <is>
          <t>中华人民共和国国务院令第607号</t>
        </is>
      </c>
      <c r="D12" s="54" t="inlineStr">
        <is>
          <t>行政法规</t>
        </is>
      </c>
      <c r="E12" s="54" t="inlineStr">
        <is>
          <t>国家</t>
        </is>
      </c>
      <c r="F12" s="54" t="inlineStr">
        <is>
          <t>国务院</t>
        </is>
      </c>
      <c r="G12" s="55" t="n">
        <v>40826</v>
      </c>
      <c r="H12" s="55" t="n">
        <v>40848</v>
      </c>
      <c r="I12" s="54" t="inlineStr">
        <is>
          <t>现行有效</t>
        </is>
      </c>
      <c r="J12" s="54" t="inlineStr">
        <is>
          <t>海洋油气与矿产资源</t>
        </is>
      </c>
      <c r="K12" s="54" t="inlineStr">
        <is>
          <t>海洋权益与涉外事务</t>
        </is>
      </c>
      <c r="L12" s="53" t="n">
        <v>4</v>
      </c>
      <c r="M12" s="53" t="n"/>
      <c r="N12" s="54" t="n">
        <v>30</v>
      </c>
      <c r="O12" s="54" t="inlineStr">
        <is>
          <t>难</t>
        </is>
      </c>
      <c r="P12" s="54" t="inlineStr">
        <is>
          <t>是</t>
        </is>
      </c>
      <c r="Q12" s="54" t="inlineStr">
        <is>
          <t>国家法律法规数据库</t>
        </is>
      </c>
      <c r="R12" s="54" t="n"/>
    </row>
    <row r="13" ht="26.85" customHeight="1" s="42">
      <c r="A13" s="53" t="n">
        <v>9</v>
      </c>
      <c r="B13" s="54" t="inlineStr">
        <is>
          <t>铺设海底电缆管道管理规定</t>
        </is>
      </c>
      <c r="C13" s="54" t="inlineStr">
        <is>
          <t>中华人民共和国国务院令第27号</t>
        </is>
      </c>
      <c r="D13" s="54" t="inlineStr">
        <is>
          <t>行政法规</t>
        </is>
      </c>
      <c r="E13" s="54" t="inlineStr">
        <is>
          <t>国家</t>
        </is>
      </c>
      <c r="F13" s="54" t="inlineStr">
        <is>
          <t>国务院</t>
        </is>
      </c>
      <c r="G13" s="55" t="n">
        <v>32550</v>
      </c>
      <c r="H13" s="55" t="n">
        <v>32568</v>
      </c>
      <c r="I13" s="54" t="inlineStr">
        <is>
          <t>现行有效</t>
        </is>
      </c>
      <c r="J13" s="54" t="inlineStr">
        <is>
          <t>能源基础设施</t>
        </is>
      </c>
      <c r="K13" s="54" t="inlineStr">
        <is>
          <t>海洋空间与用海管理</t>
        </is>
      </c>
      <c r="L13" s="53" t="n">
        <v>4</v>
      </c>
      <c r="M13" s="53" t="n"/>
      <c r="N13" s="54" t="n">
        <v>20</v>
      </c>
      <c r="O13" s="54" t="inlineStr">
        <is>
          <t>难</t>
        </is>
      </c>
      <c r="P13" s="54" t="inlineStr">
        <is>
          <t>是</t>
        </is>
      </c>
      <c r="Q13" s="54" t="inlineStr">
        <is>
          <t>国家法律法规数据库</t>
        </is>
      </c>
      <c r="R13" s="54" t="n"/>
    </row>
    <row r="14" ht="15" customHeight="1" s="42">
      <c r="A14" s="53" t="n">
        <v>10</v>
      </c>
      <c r="B14" s="54" t="inlineStr">
        <is>
          <t>自然资源部关于印发《临时用海管理办法》的通知</t>
        </is>
      </c>
      <c r="C14" s="54" t="inlineStr">
        <is>
          <t>自然资规〔2026〕3号</t>
        </is>
      </c>
      <c r="D14" s="54" t="inlineStr">
        <is>
          <t>规范性文件</t>
        </is>
      </c>
      <c r="E14" s="54" t="inlineStr">
        <is>
          <t>国家</t>
        </is>
      </c>
      <c r="F14" s="54" t="inlineStr">
        <is>
          <t>自然资源部</t>
        </is>
      </c>
      <c r="G14" s="55" t="n">
        <v>46233</v>
      </c>
      <c r="H14" s="55" t="n">
        <v>46233</v>
      </c>
      <c r="I14" s="54" t="inlineStr">
        <is>
          <t>现行有效</t>
        </is>
      </c>
      <c r="J14" s="54" t="inlineStr">
        <is>
          <t>海洋空间与用海管理</t>
        </is>
      </c>
      <c r="K14" s="54" t="n"/>
      <c r="L14" s="53" t="n">
        <v>4</v>
      </c>
      <c r="M14" s="53" t="n"/>
      <c r="N14" s="54" t="n">
        <v>20</v>
      </c>
      <c r="O14" s="54" t="inlineStr">
        <is>
          <t>中</t>
        </is>
      </c>
      <c r="P14" s="54" t="inlineStr">
        <is>
          <t>是</t>
        </is>
      </c>
      <c r="Q14" s="54" t="inlineStr">
        <is>
          <t>发布机关官网</t>
        </is>
      </c>
      <c r="R14" s="54" t="n"/>
    </row>
    <row r="15" ht="15" customHeight="1" s="42">
      <c r="A15" s="53" t="n">
        <v>11</v>
      </c>
      <c r="B15" s="54" t="inlineStr">
        <is>
          <t>海上风电开发建设管理办法</t>
        </is>
      </c>
      <c r="C15" s="54" t="inlineStr">
        <is>
          <t>国能新能〔2016〕394号</t>
        </is>
      </c>
      <c r="D15" s="54" t="inlineStr">
        <is>
          <t>规范性文件</t>
        </is>
      </c>
      <c r="E15" s="54" t="inlineStr">
        <is>
          <t>国家</t>
        </is>
      </c>
      <c r="F15" s="54" t="inlineStr">
        <is>
          <t>国家能源局</t>
        </is>
      </c>
      <c r="G15" s="55" t="n">
        <v>42733</v>
      </c>
      <c r="H15" s="55" t="n">
        <v>42733</v>
      </c>
      <c r="I15" s="54" t="inlineStr">
        <is>
          <t>已废止</t>
        </is>
      </c>
      <c r="J15" s="54" t="inlineStr">
        <is>
          <t>海洋可再生能源</t>
        </is>
      </c>
      <c r="K15" s="54" t="inlineStr">
        <is>
          <t>海洋空间与用海管理</t>
        </is>
      </c>
      <c r="L15" s="53" t="n">
        <v>4</v>
      </c>
      <c r="M15" s="53" t="n"/>
      <c r="N15" s="54" t="n">
        <v>30</v>
      </c>
      <c r="O15" s="54" t="inlineStr">
        <is>
          <t>易</t>
        </is>
      </c>
      <c r="P15" s="54" t="inlineStr">
        <is>
          <t>是</t>
        </is>
      </c>
      <c r="Q15" s="54" t="inlineStr">
        <is>
          <t>发布机关官网</t>
        </is>
      </c>
      <c r="R15" s="54" t="n"/>
    </row>
    <row r="16" ht="26.85" customHeight="1" s="42">
      <c r="A16" s="53" t="n">
        <v>12</v>
      </c>
      <c r="B16" s="54" t="inlineStr">
        <is>
          <t>海洋可再生能源资金项目实施管理细则（暂行）</t>
        </is>
      </c>
      <c r="C16" s="54" t="inlineStr">
        <is>
          <t>国海规范〔2016〕9号</t>
        </is>
      </c>
      <c r="D16" s="54" t="inlineStr">
        <is>
          <t>规范性文件</t>
        </is>
      </c>
      <c r="E16" s="54" t="inlineStr">
        <is>
          <t>国家</t>
        </is>
      </c>
      <c r="F16" s="54" t="inlineStr">
        <is>
          <t>国家海洋局(已并入自然资源部)</t>
        </is>
      </c>
      <c r="G16" s="55" t="n">
        <v>42726</v>
      </c>
      <c r="H16" s="55" t="n">
        <v>42726</v>
      </c>
      <c r="I16" s="54" t="inlineStr">
        <is>
          <t>现行有效</t>
        </is>
      </c>
      <c r="J16" s="54" t="inlineStr">
        <is>
          <t>海洋可再生能源</t>
        </is>
      </c>
      <c r="K16" s="54" t="inlineStr">
        <is>
          <t>价格、财税与市场机制</t>
        </is>
      </c>
      <c r="L16" s="53" t="n">
        <v>4</v>
      </c>
      <c r="M16" s="53" t="n"/>
      <c r="N16" s="54" t="n">
        <v>15</v>
      </c>
      <c r="O16" s="54" t="inlineStr">
        <is>
          <t>易</t>
        </is>
      </c>
      <c r="P16" s="54" t="inlineStr">
        <is>
          <t>是</t>
        </is>
      </c>
      <c r="Q16" s="54" t="inlineStr">
        <is>
          <t>发布机关官网</t>
        </is>
      </c>
      <c r="R16" s="54" t="n"/>
    </row>
    <row r="17" ht="26.85" customHeight="1" s="42">
      <c r="A17" s="53" t="n">
        <v>13</v>
      </c>
      <c r="B17" s="54" t="inlineStr">
        <is>
          <t>国家发展改革委 国家能源局关于印发《新型电力系统建设“十五五”规划》的通知</t>
        </is>
      </c>
      <c r="C17" s="54" t="inlineStr">
        <is>
          <t>发改能源〔2026〕942号</t>
        </is>
      </c>
      <c r="D17" s="54" t="inlineStr">
        <is>
          <t>政策文件</t>
        </is>
      </c>
      <c r="E17" s="54" t="inlineStr">
        <is>
          <t>国家</t>
        </is>
      </c>
      <c r="F17" s="54" t="inlineStr">
        <is>
          <t>国家发展改革委</t>
        </is>
      </c>
      <c r="G17" s="55" t="n">
        <v>46224</v>
      </c>
      <c r="H17" s="55" t="n">
        <v>46224</v>
      </c>
      <c r="I17" s="54" t="inlineStr">
        <is>
          <t>现行有效</t>
        </is>
      </c>
      <c r="J17" s="54" t="inlineStr">
        <is>
          <t>规划与区划</t>
        </is>
      </c>
      <c r="K17" s="54" t="inlineStr">
        <is>
          <t>能源基础设施</t>
        </is>
      </c>
      <c r="L17" s="53" t="n">
        <v>4</v>
      </c>
      <c r="M17" s="53" t="n"/>
      <c r="N17" s="54" t="n">
        <v>4</v>
      </c>
      <c r="O17" s="54" t="inlineStr">
        <is>
          <t>难</t>
        </is>
      </c>
      <c r="P17" s="54" t="inlineStr">
        <is>
          <t>是</t>
        </is>
      </c>
      <c r="Q17" s="54" t="inlineStr">
        <is>
          <t>发布机关官网</t>
        </is>
      </c>
      <c r="R17" s="54" t="n"/>
    </row>
    <row r="18" ht="26.85" customHeight="1" s="42">
      <c r="A18" s="53" t="n">
        <v>14</v>
      </c>
      <c r="B18" s="54" t="inlineStr">
        <is>
          <t>关于印发《可再生能源发展“十五五”规划》的通知</t>
        </is>
      </c>
      <c r="C18" s="54" t="inlineStr">
        <is>
          <t>发改能源〔2026〕1067号</t>
        </is>
      </c>
      <c r="D18" s="54" t="inlineStr">
        <is>
          <t>政策文件</t>
        </is>
      </c>
      <c r="E18" s="54" t="inlineStr">
        <is>
          <t>国家</t>
        </is>
      </c>
      <c r="F18" s="54" t="inlineStr">
        <is>
          <t>国家发展改革委</t>
        </is>
      </c>
      <c r="G18" s="55" t="n">
        <v>46209</v>
      </c>
      <c r="H18" s="55" t="n">
        <v>46209</v>
      </c>
      <c r="I18" s="54" t="inlineStr">
        <is>
          <t>现行有效</t>
        </is>
      </c>
      <c r="J18" s="54" t="inlineStr">
        <is>
          <t>规划与区划</t>
        </is>
      </c>
      <c r="K18" s="54" t="inlineStr">
        <is>
          <t>海洋可再生能源</t>
        </is>
      </c>
      <c r="L18" s="53" t="n">
        <v>4</v>
      </c>
      <c r="M18" s="53" t="n"/>
      <c r="N18" s="54" t="n">
        <v>15</v>
      </c>
      <c r="O18" s="54" t="inlineStr">
        <is>
          <t>难</t>
        </is>
      </c>
      <c r="P18" s="54" t="inlineStr">
        <is>
          <t>是</t>
        </is>
      </c>
      <c r="Q18" s="54" t="inlineStr">
        <is>
          <t>发布机关官网</t>
        </is>
      </c>
      <c r="R18" s="54" t="n"/>
    </row>
    <row r="19" ht="26.85" customHeight="1" s="42">
      <c r="A19" s="53" t="n">
        <v>15</v>
      </c>
      <c r="B19" s="54" t="inlineStr">
        <is>
          <t>国家发展改革委 国家能源局关于印发《新型能源体系建设“十五五”规划》的通知</t>
        </is>
      </c>
      <c r="C19" s="54" t="inlineStr">
        <is>
          <t>发改能源〔2026〕884号</t>
        </is>
      </c>
      <c r="D19" s="54" t="inlineStr">
        <is>
          <t>政策文件</t>
        </is>
      </c>
      <c r="E19" s="54" t="inlineStr">
        <is>
          <t>国家</t>
        </is>
      </c>
      <c r="F19" s="54" t="inlineStr">
        <is>
          <t>国家发展改革委</t>
        </is>
      </c>
      <c r="G19" s="55" t="n">
        <v>46186</v>
      </c>
      <c r="H19" s="55" t="n">
        <v>46186</v>
      </c>
      <c r="I19" s="54" t="inlineStr">
        <is>
          <t>现行有效</t>
        </is>
      </c>
      <c r="J19" s="54" t="inlineStr">
        <is>
          <t>规划与区划</t>
        </is>
      </c>
      <c r="K19" s="54" t="inlineStr">
        <is>
          <t>能源基础设施</t>
        </is>
      </c>
      <c r="L19" s="53" t="n">
        <v>4</v>
      </c>
      <c r="M19" s="53" t="n"/>
      <c r="N19" s="54" t="n">
        <v>3</v>
      </c>
      <c r="O19" s="54" t="inlineStr">
        <is>
          <t>难</t>
        </is>
      </c>
      <c r="P19" s="54" t="inlineStr">
        <is>
          <t>是</t>
        </is>
      </c>
      <c r="Q19" s="54" t="inlineStr">
        <is>
          <t>发布机关官网</t>
        </is>
      </c>
      <c r="R19" s="54" t="n"/>
    </row>
    <row r="20" ht="26.85" customHeight="1" s="42">
      <c r="A20" s="53" t="n">
        <v>16</v>
      </c>
      <c r="B20" s="54" t="inlineStr">
        <is>
          <t>关于深化新能源上网电价市场化改革 促进新能源高质量发展的通知</t>
        </is>
      </c>
      <c r="C20" s="54" t="inlineStr">
        <is>
          <t>发改价格〔2025〕136号</t>
        </is>
      </c>
      <c r="D20" s="54" t="inlineStr">
        <is>
          <t>政策文件</t>
        </is>
      </c>
      <c r="E20" s="54" t="inlineStr">
        <is>
          <t>国家</t>
        </is>
      </c>
      <c r="F20" s="54" t="inlineStr">
        <is>
          <t>国家发展改革委</t>
        </is>
      </c>
      <c r="G20" s="55" t="n">
        <v>45684</v>
      </c>
      <c r="H20" s="55" t="n">
        <v>45684</v>
      </c>
      <c r="I20" s="54" t="inlineStr">
        <is>
          <t>现行有效</t>
        </is>
      </c>
      <c r="J20" s="54" t="inlineStr">
        <is>
          <t>价格、财税与市场机制</t>
        </is>
      </c>
      <c r="K20" s="54" t="inlineStr">
        <is>
          <t>海洋可再生能源</t>
        </is>
      </c>
      <c r="L20" s="53" t="n">
        <v>4</v>
      </c>
      <c r="M20" s="54" t="inlineStr">
        <is>
          <t>关于完善风电上网电价政策的通知</t>
        </is>
      </c>
      <c r="N20" s="54" t="n">
        <v>8</v>
      </c>
      <c r="O20" s="54" t="inlineStr">
        <is>
          <t>难</t>
        </is>
      </c>
      <c r="P20" s="54" t="inlineStr">
        <is>
          <t>是</t>
        </is>
      </c>
      <c r="Q20" s="54" t="inlineStr">
        <is>
          <t>发布机关官网</t>
        </is>
      </c>
      <c r="R20" s="54" t="n"/>
    </row>
    <row r="21" ht="26.85" customHeight="1" s="42">
      <c r="A21" s="53" t="n">
        <v>17</v>
      </c>
      <c r="B21" s="54" t="inlineStr">
        <is>
          <t>自然资源部关于探索推进海域立体分层设权工作的通知</t>
        </is>
      </c>
      <c r="C21" s="54" t="inlineStr">
        <is>
          <t>自然资规〔2023〕8号</t>
        </is>
      </c>
      <c r="D21" s="54" t="inlineStr">
        <is>
          <t>政策文件</t>
        </is>
      </c>
      <c r="E21" s="54" t="inlineStr">
        <is>
          <t>国家</t>
        </is>
      </c>
      <c r="F21" s="54" t="inlineStr">
        <is>
          <t>自然资源部</t>
        </is>
      </c>
      <c r="G21" s="55" t="n">
        <v>45243</v>
      </c>
      <c r="H21" s="55" t="n">
        <v>45243</v>
      </c>
      <c r="I21" s="54" t="inlineStr">
        <is>
          <t>现行有效</t>
        </is>
      </c>
      <c r="J21" s="54" t="inlineStr">
        <is>
          <t>海洋空间与用海管理</t>
        </is>
      </c>
      <c r="K21" s="54" t="inlineStr">
        <is>
          <t>海洋可再生能源</t>
        </is>
      </c>
      <c r="L21" s="53" t="n">
        <v>4</v>
      </c>
      <c r="M21" s="53" t="n"/>
      <c r="N21" s="54" t="n">
        <v>20</v>
      </c>
      <c r="O21" s="54" t="inlineStr">
        <is>
          <t>难</t>
        </is>
      </c>
      <c r="P21" s="54" t="inlineStr">
        <is>
          <t>是</t>
        </is>
      </c>
      <c r="Q21" s="54" t="inlineStr">
        <is>
          <t>发布机关官网</t>
        </is>
      </c>
      <c r="R21" s="54" t="n"/>
    </row>
    <row r="22" ht="26.85" customHeight="1" s="42">
      <c r="A22" s="53" t="n">
        <v>18</v>
      </c>
      <c r="B22" s="54" t="inlineStr">
        <is>
          <t>关于完善风电上网电价政策的通知</t>
        </is>
      </c>
      <c r="C22" s="54" t="inlineStr">
        <is>
          <t>发改价格〔2019〕882号</t>
        </is>
      </c>
      <c r="D22" s="54" t="inlineStr">
        <is>
          <t>政策文件</t>
        </is>
      </c>
      <c r="E22" s="54" t="inlineStr">
        <is>
          <t>国家</t>
        </is>
      </c>
      <c r="F22" s="54" t="inlineStr">
        <is>
          <t>国家发展改革委</t>
        </is>
      </c>
      <c r="G22" s="55" t="n">
        <v>43606</v>
      </c>
      <c r="H22" s="55" t="n">
        <v>43606</v>
      </c>
      <c r="I22" s="54" t="inlineStr">
        <is>
          <t>现行有效</t>
        </is>
      </c>
      <c r="J22" s="54" t="inlineStr">
        <is>
          <t>价格、财税与市场机制</t>
        </is>
      </c>
      <c r="K22" s="54" t="inlineStr">
        <is>
          <t>海洋可再生能源</t>
        </is>
      </c>
      <c r="L22" s="53" t="n">
        <v>4</v>
      </c>
      <c r="M22" s="54" t="inlineStr">
        <is>
          <t>关于海上风电上网电价政策的通知</t>
        </is>
      </c>
      <c r="N22" s="54" t="n">
        <v>4</v>
      </c>
      <c r="O22" s="54" t="inlineStr">
        <is>
          <t>易</t>
        </is>
      </c>
      <c r="P22" s="54" t="inlineStr">
        <is>
          <t>是</t>
        </is>
      </c>
      <c r="Q22" s="54" t="inlineStr">
        <is>
          <t>发布机关官网</t>
        </is>
      </c>
      <c r="R22" s="54" t="n"/>
    </row>
    <row r="23" ht="26.85" customHeight="1" s="42">
      <c r="A23" s="53" t="n">
        <v>19</v>
      </c>
      <c r="B23" s="54" t="inlineStr">
        <is>
          <t>关于海上风电上网电价政策的通知</t>
        </is>
      </c>
      <c r="C23" s="54" t="inlineStr">
        <is>
          <t>发改价格〔2014〕1216号</t>
        </is>
      </c>
      <c r="D23" s="54" t="inlineStr">
        <is>
          <t>政策文件</t>
        </is>
      </c>
      <c r="E23" s="54" t="inlineStr">
        <is>
          <t>国家</t>
        </is>
      </c>
      <c r="F23" s="54" t="inlineStr">
        <is>
          <t>国家发展改革委</t>
        </is>
      </c>
      <c r="G23" s="55" t="n">
        <v>41795</v>
      </c>
      <c r="H23" s="55" t="n">
        <v>41795</v>
      </c>
      <c r="I23" s="54" t="inlineStr">
        <is>
          <t>现行有效</t>
        </is>
      </c>
      <c r="J23" s="54" t="inlineStr">
        <is>
          <t>价格、财税与市场机制</t>
        </is>
      </c>
      <c r="K23" s="54" t="inlineStr">
        <is>
          <t>海洋可再生能源</t>
        </is>
      </c>
      <c r="L23" s="53" t="n">
        <v>4</v>
      </c>
      <c r="M23" s="53" t="n"/>
      <c r="N23" s="54" t="n">
        <v>3</v>
      </c>
      <c r="O23" s="54" t="inlineStr">
        <is>
          <t>易</t>
        </is>
      </c>
      <c r="P23" s="54" t="inlineStr">
        <is>
          <t>是</t>
        </is>
      </c>
      <c r="Q23" s="54" t="inlineStr">
        <is>
          <t>发布机关官网</t>
        </is>
      </c>
      <c r="R23" s="54" t="n"/>
    </row>
    <row r="24" ht="26.85" customHeight="1" s="42">
      <c r="A24" s="53" t="n">
        <v>20</v>
      </c>
      <c r="B24" s="54" t="inlineStr">
        <is>
          <t>中华人民共和国生态环境法典</t>
        </is>
      </c>
      <c r="C24" s="54" t="inlineStr">
        <is>
          <t>无文号</t>
        </is>
      </c>
      <c r="D24" s="54" t="inlineStr">
        <is>
          <t>法律</t>
        </is>
      </c>
      <c r="E24" s="54" t="inlineStr">
        <is>
          <t>国家</t>
        </is>
      </c>
      <c r="F24" s="54" t="inlineStr">
        <is>
          <t>全国人大及其常委会</t>
        </is>
      </c>
      <c r="G24" s="55" t="n">
        <v>46093</v>
      </c>
      <c r="H24" s="55" t="n">
        <v>46249</v>
      </c>
      <c r="I24" s="54" t="inlineStr">
        <is>
          <t>现行有效</t>
        </is>
      </c>
      <c r="J24" s="54" t="inlineStr">
        <is>
          <t>生态环境与海岛保护</t>
        </is>
      </c>
      <c r="K24" s="54" t="inlineStr">
        <is>
          <t>海洋空间与用海管理</t>
        </is>
      </c>
      <c r="L24" s="53" t="n">
        <v>3</v>
      </c>
      <c r="M24" s="53" t="n"/>
      <c r="N24" s="54" t="n">
        <v>20</v>
      </c>
      <c r="O24" s="54" t="inlineStr">
        <is>
          <t>易</t>
        </is>
      </c>
      <c r="P24" s="54" t="inlineStr">
        <is>
          <t>是</t>
        </is>
      </c>
      <c r="Q24" s="54" t="inlineStr">
        <is>
          <t>国家法律法规数据库</t>
        </is>
      </c>
      <c r="R24" s="54" t="inlineStr">
        <is>
          <t>主要集中在海洋生态环境保护；沿海省份生态环境相关条例</t>
        </is>
      </c>
    </row>
    <row r="25" ht="15" customHeight="1" s="42">
      <c r="A25" s="53" t="n">
        <v>21</v>
      </c>
      <c r="B25" s="54" t="inlineStr">
        <is>
          <t>中华人民共和国矿产资源法</t>
        </is>
      </c>
      <c r="C25" s="54" t="inlineStr">
        <is>
          <t>无文号</t>
        </is>
      </c>
      <c r="D25" s="54" t="inlineStr">
        <is>
          <t>法律</t>
        </is>
      </c>
      <c r="E25" s="54" t="inlineStr">
        <is>
          <t>国家</t>
        </is>
      </c>
      <c r="F25" s="54" t="inlineStr">
        <is>
          <t>全国人大及其常委会</t>
        </is>
      </c>
      <c r="G25" s="55" t="n">
        <v>45604</v>
      </c>
      <c r="H25" s="55" t="n">
        <v>45839</v>
      </c>
      <c r="I25" s="54" t="inlineStr">
        <is>
          <t>现行有效</t>
        </is>
      </c>
      <c r="J25" s="54" t="inlineStr">
        <is>
          <t>海洋油气与矿产资源</t>
        </is>
      </c>
      <c r="K25" s="54" t="n"/>
      <c r="L25" s="53" t="n">
        <v>3</v>
      </c>
      <c r="M25" s="53" t="n"/>
      <c r="N25" s="54" t="n">
        <v>40</v>
      </c>
      <c r="O25" s="54" t="inlineStr">
        <is>
          <t>难</t>
        </is>
      </c>
      <c r="P25" s="54" t="inlineStr">
        <is>
          <t>是</t>
        </is>
      </c>
      <c r="Q25" s="54" t="inlineStr">
        <is>
          <t>国家法律法规数据库</t>
        </is>
      </c>
      <c r="R25" s="54" t="inlineStr">
        <is>
          <t>沿海省份地方条例</t>
        </is>
      </c>
    </row>
    <row r="26" ht="15" customHeight="1" s="42">
      <c r="A26" s="53" t="n">
        <v>22</v>
      </c>
      <c r="B26" s="54" t="inlineStr">
        <is>
          <t>中华人民共和国海上交通安全法</t>
        </is>
      </c>
      <c r="C26" s="54" t="inlineStr">
        <is>
          <t>无文号</t>
        </is>
      </c>
      <c r="D26" s="54" t="inlineStr">
        <is>
          <t>法律</t>
        </is>
      </c>
      <c r="E26" s="54" t="inlineStr">
        <is>
          <t>国家</t>
        </is>
      </c>
      <c r="F26" s="54" t="inlineStr">
        <is>
          <t>全国人大及其常委会</t>
        </is>
      </c>
      <c r="G26" s="55" t="n">
        <v>44315</v>
      </c>
      <c r="H26" s="55" t="n">
        <v>44440</v>
      </c>
      <c r="I26" s="54" t="inlineStr">
        <is>
          <t>现行有效</t>
        </is>
      </c>
      <c r="J26" s="54" t="inlineStr">
        <is>
          <t>海洋空间与用海管理</t>
        </is>
      </c>
      <c r="K26" s="54" t="inlineStr">
        <is>
          <t>能源基础设施</t>
        </is>
      </c>
      <c r="L26" s="53" t="n">
        <v>3</v>
      </c>
      <c r="M26" s="53" t="n"/>
      <c r="N26" s="54" t="n">
        <v>40</v>
      </c>
      <c r="O26" s="54" t="inlineStr">
        <is>
          <t>中</t>
        </is>
      </c>
      <c r="P26" s="54" t="inlineStr">
        <is>
          <t>是</t>
        </is>
      </c>
      <c r="Q26" s="54" t="inlineStr">
        <is>
          <t>国家法律法规数据库</t>
        </is>
      </c>
      <c r="R26" s="54" t="inlineStr">
        <is>
          <t>沿海省份地方条例</t>
        </is>
      </c>
    </row>
    <row r="27" ht="26.85" customHeight="1" s="42">
      <c r="A27" s="53" t="n">
        <v>23</v>
      </c>
      <c r="B27" s="54" t="inlineStr">
        <is>
          <t>中华人民共和国电力法</t>
        </is>
      </c>
      <c r="C27" s="54" t="inlineStr">
        <is>
          <t>无文号</t>
        </is>
      </c>
      <c r="D27" s="54" t="inlineStr">
        <is>
          <t>法律</t>
        </is>
      </c>
      <c r="E27" s="54" t="inlineStr">
        <is>
          <t>国家</t>
        </is>
      </c>
      <c r="F27" s="54" t="inlineStr">
        <is>
          <t>全国人大及其常委会</t>
        </is>
      </c>
      <c r="G27" s="55" t="n">
        <v>43463</v>
      </c>
      <c r="H27" s="55" t="n">
        <v>43463</v>
      </c>
      <c r="I27" s="54" t="inlineStr">
        <is>
          <t>现行有效</t>
        </is>
      </c>
      <c r="J27" s="54" t="inlineStr">
        <is>
          <t>能源基础设施</t>
        </is>
      </c>
      <c r="K27" s="54" t="inlineStr">
        <is>
          <t>价格、财税与市场机制</t>
        </is>
      </c>
      <c r="L27" s="53" t="n">
        <v>3</v>
      </c>
      <c r="M27" s="53" t="n"/>
      <c r="N27" s="54" t="n">
        <v>40</v>
      </c>
      <c r="O27" s="54" t="inlineStr">
        <is>
          <t>中</t>
        </is>
      </c>
      <c r="P27" s="54" t="inlineStr">
        <is>
          <t>是</t>
        </is>
      </c>
      <c r="Q27" s="54" t="inlineStr">
        <is>
          <t>国家法律法规数据库</t>
        </is>
      </c>
      <c r="R27" s="54" t="inlineStr">
        <is>
          <t>沿海省份地方条例</t>
        </is>
      </c>
    </row>
    <row r="28" ht="15" customHeight="1" s="42">
      <c r="A28" s="53" t="n">
        <v>24</v>
      </c>
      <c r="B28" s="54" t="inlineStr">
        <is>
          <t>中华人民共和国深海海底区域资源勘探开发法</t>
        </is>
      </c>
      <c r="C28" s="54" t="inlineStr">
        <is>
          <t>无文号</t>
        </is>
      </c>
      <c r="D28" s="54" t="inlineStr">
        <is>
          <t>法律</t>
        </is>
      </c>
      <c r="E28" s="54" t="inlineStr">
        <is>
          <t>国家</t>
        </is>
      </c>
      <c r="F28" s="54" t="inlineStr">
        <is>
          <t>全国人大及其常委会</t>
        </is>
      </c>
      <c r="G28" s="55" t="n">
        <v>42426</v>
      </c>
      <c r="H28" s="55" t="n">
        <v>42491</v>
      </c>
      <c r="I28" s="54" t="inlineStr">
        <is>
          <t>现行有效</t>
        </is>
      </c>
      <c r="J28" s="54" t="inlineStr">
        <is>
          <t>海洋油气与矿产资源</t>
        </is>
      </c>
      <c r="K28" s="54" t="inlineStr">
        <is>
          <t>海洋权益与涉外事务</t>
        </is>
      </c>
      <c r="L28" s="53" t="n">
        <v>3</v>
      </c>
      <c r="M28" s="53" t="n"/>
      <c r="N28" s="54" t="n">
        <v>30</v>
      </c>
      <c r="O28" s="54" t="inlineStr">
        <is>
          <t>难</t>
        </is>
      </c>
      <c r="P28" s="54" t="inlineStr">
        <is>
          <t>是</t>
        </is>
      </c>
      <c r="Q28" s="54" t="inlineStr">
        <is>
          <t>国家法律法规数据库</t>
        </is>
      </c>
      <c r="R28" s="54" t="n"/>
    </row>
    <row r="29" ht="15" customHeight="1" s="42">
      <c r="A29" s="53" t="n">
        <v>25</v>
      </c>
      <c r="B29" s="54" t="inlineStr">
        <is>
          <t>中华人民共和国专属经济区和大陆架法</t>
        </is>
      </c>
      <c r="C29" s="54" t="inlineStr">
        <is>
          <t>无文号</t>
        </is>
      </c>
      <c r="D29" s="54" t="inlineStr">
        <is>
          <t>法律</t>
        </is>
      </c>
      <c r="E29" s="54" t="inlineStr">
        <is>
          <t>国家</t>
        </is>
      </c>
      <c r="F29" s="54" t="inlineStr">
        <is>
          <t>全国人大及其常委会</t>
        </is>
      </c>
      <c r="G29" s="55" t="n">
        <v>35972</v>
      </c>
      <c r="H29" s="55" t="n">
        <v>35972</v>
      </c>
      <c r="I29" s="54" t="inlineStr">
        <is>
          <t>现行有效</t>
        </is>
      </c>
      <c r="J29" s="54" t="inlineStr">
        <is>
          <t>海洋权益与涉外事务</t>
        </is>
      </c>
      <c r="K29" s="54" t="inlineStr">
        <is>
          <t>海洋油气与矿产资源</t>
        </is>
      </c>
      <c r="L29" s="53" t="n">
        <v>3</v>
      </c>
      <c r="M29" s="53" t="n"/>
      <c r="N29" s="54" t="n">
        <v>15</v>
      </c>
      <c r="O29" s="54" t="inlineStr">
        <is>
          <t>易</t>
        </is>
      </c>
      <c r="P29" s="54" t="inlineStr">
        <is>
          <t>是</t>
        </is>
      </c>
      <c r="Q29" s="54" t="inlineStr">
        <is>
          <t>国家法律法规数据库</t>
        </is>
      </c>
      <c r="R29" s="54" t="n"/>
    </row>
    <row r="30" ht="26.85" customHeight="1" s="42">
      <c r="A30" s="53" t="n">
        <v>26</v>
      </c>
      <c r="B30" s="54" t="inlineStr">
        <is>
          <t>联合国海洋法公约</t>
        </is>
      </c>
      <c r="C30" s="54" t="inlineStr">
        <is>
          <t>中华人民共和国主席令（第六十九号）</t>
        </is>
      </c>
      <c r="D30" s="54" t="inlineStr">
        <is>
          <t>法律</t>
        </is>
      </c>
      <c r="E30" s="54" t="inlineStr">
        <is>
          <t>国家</t>
        </is>
      </c>
      <c r="F30" s="54" t="inlineStr">
        <is>
          <t>全国人大及其常委会</t>
        </is>
      </c>
      <c r="G30" s="55" t="n">
        <v>35200</v>
      </c>
      <c r="H30" s="55" t="n">
        <v>35200</v>
      </c>
      <c r="I30" s="54" t="inlineStr">
        <is>
          <t>现行有效</t>
        </is>
      </c>
      <c r="J30" s="54" t="inlineStr">
        <is>
          <t>海洋权益与涉外事务</t>
        </is>
      </c>
      <c r="K30" s="54" t="inlineStr">
        <is>
          <t>海洋空间与用海管理</t>
        </is>
      </c>
      <c r="L30" s="53" t="n">
        <v>3</v>
      </c>
      <c r="M30" s="53" t="n"/>
      <c r="N30" s="54" t="n">
        <v>5</v>
      </c>
      <c r="O30" s="54" t="inlineStr">
        <is>
          <t>中</t>
        </is>
      </c>
      <c r="P30" s="54" t="inlineStr">
        <is>
          <t>是</t>
        </is>
      </c>
      <c r="Q30" s="54" t="inlineStr">
        <is>
          <t>北大法宝</t>
        </is>
      </c>
      <c r="R30" s="54" t="inlineStr">
        <is>
          <t>全国人民代表大会常务委员会关于批准《联合国海洋法公约》的决定（1996）</t>
        </is>
      </c>
    </row>
    <row r="31" ht="15" customHeight="1" s="42">
      <c r="A31" s="53" t="n">
        <v>27</v>
      </c>
      <c r="B31" s="54" t="inlineStr">
        <is>
          <t>中华人民共和国领海及毗连区法</t>
        </is>
      </c>
      <c r="C31" s="54" t="inlineStr">
        <is>
          <t>无文号</t>
        </is>
      </c>
      <c r="D31" s="54" t="inlineStr">
        <is>
          <t>法律</t>
        </is>
      </c>
      <c r="E31" s="54" t="inlineStr">
        <is>
          <t>国家</t>
        </is>
      </c>
      <c r="F31" s="54" t="inlineStr">
        <is>
          <t>全国人大及其常委会</t>
        </is>
      </c>
      <c r="G31" s="55" t="n">
        <v>33659</v>
      </c>
      <c r="H31" s="55" t="n">
        <v>33659</v>
      </c>
      <c r="I31" s="54" t="inlineStr">
        <is>
          <t>现行有效</t>
        </is>
      </c>
      <c r="J31" s="54" t="inlineStr">
        <is>
          <t>海洋权益与涉外事务</t>
        </is>
      </c>
      <c r="K31" s="54" t="inlineStr">
        <is>
          <t>海洋空间与用海管理</t>
        </is>
      </c>
      <c r="L31" s="53" t="n">
        <v>3</v>
      </c>
      <c r="M31" s="53" t="n"/>
      <c r="N31" s="54" t="n">
        <v>20</v>
      </c>
      <c r="O31" s="54" t="inlineStr">
        <is>
          <t>难</t>
        </is>
      </c>
      <c r="P31" s="54" t="inlineStr">
        <is>
          <t>是</t>
        </is>
      </c>
      <c r="Q31" s="54" t="inlineStr">
        <is>
          <t>国家法律法规数据库</t>
        </is>
      </c>
      <c r="R31" s="54" t="n"/>
    </row>
    <row r="32" ht="26.85" customHeight="1" s="42">
      <c r="A32" s="53" t="n">
        <v>28</v>
      </c>
      <c r="B32" s="54" t="inlineStr">
        <is>
          <t>海洋观测预报管理条例</t>
        </is>
      </c>
      <c r="C32" s="54" t="inlineStr">
        <is>
          <t>中华人民共和国国务院令第615号</t>
        </is>
      </c>
      <c r="D32" s="54" t="inlineStr">
        <is>
          <t>行政法规</t>
        </is>
      </c>
      <c r="E32" s="54" t="inlineStr">
        <is>
          <t>国家</t>
        </is>
      </c>
      <c r="F32" s="54" t="inlineStr">
        <is>
          <t>国务院</t>
        </is>
      </c>
      <c r="G32" s="55" t="n">
        <v>40969</v>
      </c>
      <c r="H32" s="55" t="n">
        <v>41061</v>
      </c>
      <c r="I32" s="54" t="inlineStr">
        <is>
          <t>现行有效</t>
        </is>
      </c>
      <c r="J32" s="54" t="inlineStr">
        <is>
          <t>海洋观测与数据统计</t>
        </is>
      </c>
      <c r="K32" s="54" t="n"/>
      <c r="L32" s="53" t="n">
        <v>3</v>
      </c>
      <c r="M32" s="53" t="n"/>
      <c r="N32" s="54" t="n">
        <v>7</v>
      </c>
      <c r="O32" s="54" t="inlineStr">
        <is>
          <t>易</t>
        </is>
      </c>
      <c r="P32" s="54" t="inlineStr">
        <is>
          <t>是</t>
        </is>
      </c>
      <c r="Q32" s="54" t="inlineStr">
        <is>
          <t>发布机关官网</t>
        </is>
      </c>
      <c r="R32" s="54" t="n"/>
    </row>
    <row r="33" ht="15" customHeight="1" s="42">
      <c r="A33" s="53" t="n">
        <v>29</v>
      </c>
      <c r="B33" s="54" t="inlineStr">
        <is>
          <t>保护海底电缆规定</t>
        </is>
      </c>
      <c r="C33" s="54" t="inlineStr">
        <is>
          <t>无文号</t>
        </is>
      </c>
      <c r="D33" s="54" t="inlineStr">
        <is>
          <t>行政法规</t>
        </is>
      </c>
      <c r="E33" s="54" t="inlineStr">
        <is>
          <t>国家</t>
        </is>
      </c>
      <c r="F33" s="54" t="inlineStr">
        <is>
          <t>国务院</t>
        </is>
      </c>
      <c r="G33" s="55" t="n">
        <v>26814</v>
      </c>
      <c r="H33" s="55" t="n">
        <v>26814</v>
      </c>
      <c r="I33" s="54" t="inlineStr">
        <is>
          <t>现行有效</t>
        </is>
      </c>
      <c r="J33" s="54" t="inlineStr">
        <is>
          <t>能源基础设施</t>
        </is>
      </c>
      <c r="K33" s="54" t="n"/>
      <c r="L33" s="53" t="n">
        <v>3</v>
      </c>
      <c r="M33" s="54" t="inlineStr">
        <is>
          <t>铺设海底电缆管道管理规定</t>
        </is>
      </c>
      <c r="N33" s="54" t="n">
        <v>5</v>
      </c>
      <c r="O33" s="54" t="inlineStr">
        <is>
          <t>难</t>
        </is>
      </c>
      <c r="P33" s="54" t="inlineStr">
        <is>
          <t>是</t>
        </is>
      </c>
      <c r="Q33" s="54" t="inlineStr">
        <is>
          <t>国家法律法规数据库</t>
        </is>
      </c>
      <c r="R33" s="54" t="n"/>
    </row>
    <row r="34" ht="26.85" customHeight="1" s="42">
      <c r="A34" s="53" t="n">
        <v>30</v>
      </c>
      <c r="B34" s="54" t="inlineStr">
        <is>
          <t>海洋观测站点管理办法</t>
        </is>
      </c>
      <c r="C34" s="54" t="inlineStr">
        <is>
          <t>中华人民共和国国土资源部令（第73号）</t>
        </is>
      </c>
      <c r="D34" s="54" t="inlineStr">
        <is>
          <t>部门规章</t>
        </is>
      </c>
      <c r="E34" s="54" t="inlineStr">
        <is>
          <t>国家</t>
        </is>
      </c>
      <c r="F34" s="54" t="inlineStr">
        <is>
          <t>国土资源部（已并入自然资源部）</t>
        </is>
      </c>
      <c r="G34" s="55" t="n">
        <v>42893</v>
      </c>
      <c r="H34" s="55" t="n">
        <v>42893</v>
      </c>
      <c r="I34" s="54" t="inlineStr">
        <is>
          <t>现行有效</t>
        </is>
      </c>
      <c r="J34" s="54" t="inlineStr">
        <is>
          <t>海洋观测与数据统计</t>
        </is>
      </c>
      <c r="K34" s="54" t="n"/>
      <c r="L34" s="53" t="n">
        <v>3</v>
      </c>
      <c r="M34" s="54" t="inlineStr">
        <is>
          <t>海洋观测预报管理条例</t>
        </is>
      </c>
      <c r="N34" s="54" t="n">
        <v>2</v>
      </c>
      <c r="O34" s="54" t="inlineStr">
        <is>
          <t>易</t>
        </is>
      </c>
      <c r="P34" s="54" t="inlineStr">
        <is>
          <t>是</t>
        </is>
      </c>
      <c r="Q34" s="54" t="inlineStr">
        <is>
          <t>发布机关官网</t>
        </is>
      </c>
      <c r="R34" s="54" t="n"/>
    </row>
    <row r="35" ht="26.85" customHeight="1" s="42">
      <c r="A35" s="53" t="n">
        <v>31</v>
      </c>
      <c r="B35" s="54" t="inlineStr">
        <is>
          <t>海洋观测资料管理办法</t>
        </is>
      </c>
      <c r="C35" s="54" t="inlineStr">
        <is>
          <t>中华人民共和国国土资源部令（第74号）</t>
        </is>
      </c>
      <c r="D35" s="54" t="inlineStr">
        <is>
          <t>部门规章</t>
        </is>
      </c>
      <c r="E35" s="54" t="inlineStr">
        <is>
          <t>国家</t>
        </is>
      </c>
      <c r="F35" s="54" t="inlineStr">
        <is>
          <t>国土资源部（已并入自然资源部）</t>
        </is>
      </c>
      <c r="G35" s="55" t="n">
        <v>42893</v>
      </c>
      <c r="H35" s="55" t="n">
        <v>42893</v>
      </c>
      <c r="I35" s="54" t="inlineStr">
        <is>
          <t>现行有效</t>
        </is>
      </c>
      <c r="J35" s="54" t="inlineStr">
        <is>
          <t>海洋观测与数据统计</t>
        </is>
      </c>
      <c r="K35" s="54" t="n"/>
      <c r="L35" s="53" t="n">
        <v>3</v>
      </c>
      <c r="M35" s="54" t="inlineStr">
        <is>
          <t>海洋观测预报管理条例</t>
        </is>
      </c>
      <c r="N35" s="54" t="n">
        <v>3</v>
      </c>
      <c r="O35" s="54" t="inlineStr">
        <is>
          <t>易</t>
        </is>
      </c>
      <c r="P35" s="54" t="inlineStr">
        <is>
          <t>是</t>
        </is>
      </c>
      <c r="Q35" s="54" t="inlineStr">
        <is>
          <t>发布机关官网</t>
        </is>
      </c>
      <c r="R35" s="54" t="n"/>
    </row>
    <row r="36" ht="15" customHeight="1" s="42">
      <c r="A36" s="53" t="n">
        <v>32</v>
      </c>
      <c r="B36" s="54" t="inlineStr">
        <is>
          <t>国务院关于印发全国海洋主体功能区规划的通知</t>
        </is>
      </c>
      <c r="C36" s="54" t="inlineStr">
        <is>
          <t>国发〔2015〕42号</t>
        </is>
      </c>
      <c r="D36" s="54" t="inlineStr">
        <is>
          <t>规范性文件</t>
        </is>
      </c>
      <c r="E36" s="54" t="inlineStr">
        <is>
          <t>国家</t>
        </is>
      </c>
      <c r="F36" s="54" t="inlineStr">
        <is>
          <t>国务院</t>
        </is>
      </c>
      <c r="G36" s="55" t="n">
        <v>42236</v>
      </c>
      <c r="H36" s="55" t="n">
        <v>42217</v>
      </c>
      <c r="I36" s="54" t="inlineStr">
        <is>
          <t>现行有效</t>
        </is>
      </c>
      <c r="J36" s="54" t="inlineStr">
        <is>
          <t>规划与区划</t>
        </is>
      </c>
      <c r="K36" s="54" t="inlineStr">
        <is>
          <t>海洋空间与用海管理</t>
        </is>
      </c>
      <c r="L36" s="53" t="n">
        <v>3</v>
      </c>
      <c r="M36" s="53" t="n"/>
      <c r="N36" s="54" t="n">
        <v>40</v>
      </c>
      <c r="O36" s="54" t="inlineStr">
        <is>
          <t>难</t>
        </is>
      </c>
      <c r="P36" s="54" t="inlineStr">
        <is>
          <t>是</t>
        </is>
      </c>
      <c r="Q36" s="54" t="inlineStr">
        <is>
          <t>发布机关官网</t>
        </is>
      </c>
      <c r="R36" s="54" t="n"/>
    </row>
    <row r="37" ht="26.85" customHeight="1" s="42">
      <c r="A37" s="53" t="n">
        <v>33</v>
      </c>
      <c r="B37" s="54" t="inlineStr">
        <is>
          <t>国务院关于印发《“十五五”碳达峰行动方案》的通知</t>
        </is>
      </c>
      <c r="C37" s="54" t="inlineStr">
        <is>
          <t>国发〔2026〕22号</t>
        </is>
      </c>
      <c r="D37" s="54" t="inlineStr">
        <is>
          <t>政策文件</t>
        </is>
      </c>
      <c r="E37" s="54" t="inlineStr">
        <is>
          <t>国家</t>
        </is>
      </c>
      <c r="F37" s="54" t="inlineStr">
        <is>
          <t>国务院</t>
        </is>
      </c>
      <c r="G37" s="55" t="n">
        <v>46208</v>
      </c>
      <c r="H37" s="55" t="n">
        <v>46208</v>
      </c>
      <c r="I37" s="54" t="inlineStr">
        <is>
          <t>现行有效</t>
        </is>
      </c>
      <c r="J37" s="54" t="inlineStr">
        <is>
          <t>规划与区划</t>
        </is>
      </c>
      <c r="K37" s="54" t="inlineStr">
        <is>
          <t>海洋可再生能源</t>
        </is>
      </c>
      <c r="L37" s="53" t="n">
        <v>3</v>
      </c>
      <c r="M37" s="53" t="n"/>
      <c r="N37" s="54" t="n">
        <v>2</v>
      </c>
      <c r="O37" s="54" t="inlineStr">
        <is>
          <t>难</t>
        </is>
      </c>
      <c r="P37" s="54" t="inlineStr">
        <is>
          <t>是</t>
        </is>
      </c>
      <c r="Q37" s="54" t="inlineStr">
        <is>
          <t>发布机关官网</t>
        </is>
      </c>
      <c r="R37" s="54" t="n"/>
    </row>
    <row r="38" ht="26.85" customHeight="1" s="42">
      <c r="A38" s="53" t="n">
        <v>34</v>
      </c>
      <c r="B38" s="54" t="inlineStr">
        <is>
          <t>国家能源局关于促进新能源集成融合发展的指导意见</t>
        </is>
      </c>
      <c r="C38" s="54" t="inlineStr">
        <is>
          <t>国能发新能〔2025〕93号</t>
        </is>
      </c>
      <c r="D38" s="54" t="inlineStr">
        <is>
          <t>政策文件</t>
        </is>
      </c>
      <c r="E38" s="54" t="inlineStr">
        <is>
          <t>国家</t>
        </is>
      </c>
      <c r="F38" s="54" t="inlineStr">
        <is>
          <t>国家能源局</t>
        </is>
      </c>
      <c r="G38" s="55" t="n">
        <v>45961</v>
      </c>
      <c r="H38" s="55" t="n">
        <v>45961</v>
      </c>
      <c r="I38" s="54" t="inlineStr">
        <is>
          <t>现行有效</t>
        </is>
      </c>
      <c r="J38" s="54" t="inlineStr">
        <is>
          <t>能源基础设施</t>
        </is>
      </c>
      <c r="K38" s="54" t="inlineStr">
        <is>
          <t>海洋可再生能源</t>
        </is>
      </c>
      <c r="L38" s="53" t="n">
        <v>3</v>
      </c>
      <c r="M38" s="53" t="n"/>
      <c r="N38" s="54" t="n">
        <v>5</v>
      </c>
      <c r="O38" s="54" t="inlineStr">
        <is>
          <t>易</t>
        </is>
      </c>
      <c r="P38" s="54" t="inlineStr">
        <is>
          <t>是</t>
        </is>
      </c>
      <c r="Q38" s="54" t="inlineStr">
        <is>
          <t>发布机关官网</t>
        </is>
      </c>
      <c r="R38" s="54" t="n"/>
    </row>
    <row r="39" ht="15" customHeight="1" s="42">
      <c r="A39" s="53" t="n">
        <v>35</v>
      </c>
      <c r="B39" s="54" t="inlineStr">
        <is>
          <t>关于促进新能源消纳和调控的指导意见</t>
        </is>
      </c>
      <c r="C39" s="54" t="inlineStr">
        <is>
          <t>发改能源〔2025〕1360号</t>
        </is>
      </c>
      <c r="D39" s="54" t="inlineStr">
        <is>
          <t>政策文件</t>
        </is>
      </c>
      <c r="E39" s="54" t="inlineStr">
        <is>
          <t>国家</t>
        </is>
      </c>
      <c r="F39" s="54" t="inlineStr">
        <is>
          <t>国家发展改革委</t>
        </is>
      </c>
      <c r="G39" s="55" t="n">
        <v>45959</v>
      </c>
      <c r="H39" s="55" t="n">
        <v>45959</v>
      </c>
      <c r="I39" s="54" t="inlineStr">
        <is>
          <t>现行有效</t>
        </is>
      </c>
      <c r="J39" s="54" t="inlineStr">
        <is>
          <t>能源基础设施</t>
        </is>
      </c>
      <c r="K39" s="54" t="inlineStr">
        <is>
          <t>海洋可再生能源</t>
        </is>
      </c>
      <c r="L39" s="53" t="n">
        <v>3</v>
      </c>
      <c r="M39" s="53" t="n"/>
      <c r="N39" s="54" t="n">
        <v>5</v>
      </c>
      <c r="O39" s="54" t="inlineStr">
        <is>
          <t>难</t>
        </is>
      </c>
      <c r="P39" s="54" t="inlineStr">
        <is>
          <t>是</t>
        </is>
      </c>
      <c r="Q39" s="54" t="inlineStr">
        <is>
          <t>发布机关官网</t>
        </is>
      </c>
      <c r="R39" s="54" t="n"/>
    </row>
    <row r="40" ht="26.85" customHeight="1" s="42">
      <c r="A40" s="53" t="n">
        <v>36</v>
      </c>
      <c r="B40" s="54" t="inlineStr">
        <is>
          <t>关于促进可再生能源绿色电力证书市场高质量发展的意见</t>
        </is>
      </c>
      <c r="C40" s="54" t="inlineStr">
        <is>
          <t>发改能源〔2025〕262号</t>
        </is>
      </c>
      <c r="D40" s="54" t="inlineStr">
        <is>
          <t>政策文件</t>
        </is>
      </c>
      <c r="E40" s="54" t="inlineStr">
        <is>
          <t>国家</t>
        </is>
      </c>
      <c r="F40" s="54" t="inlineStr">
        <is>
          <t>国家发展改革委</t>
        </is>
      </c>
      <c r="G40" s="55" t="n">
        <v>45722</v>
      </c>
      <c r="H40" s="55" t="n">
        <v>45722</v>
      </c>
      <c r="I40" s="54" t="inlineStr">
        <is>
          <t>现行有效</t>
        </is>
      </c>
      <c r="J40" s="54" t="inlineStr">
        <is>
          <t>价格、财税与市场机制</t>
        </is>
      </c>
      <c r="K40" s="54" t="inlineStr">
        <is>
          <t>海洋可再生能源</t>
        </is>
      </c>
      <c r="L40" s="53" t="n">
        <v>3</v>
      </c>
      <c r="M40" s="53" t="n"/>
      <c r="N40" s="54" t="n">
        <v>10</v>
      </c>
      <c r="O40" s="54" t="inlineStr">
        <is>
          <t>中</t>
        </is>
      </c>
      <c r="P40" s="54" t="inlineStr">
        <is>
          <t>是</t>
        </is>
      </c>
      <c r="Q40" s="54" t="inlineStr">
        <is>
          <t>发布机关官网</t>
        </is>
      </c>
      <c r="R40" s="54" t="n"/>
    </row>
    <row r="41" ht="26.85" customHeight="1" s="42">
      <c r="A41" s="53" t="n">
        <v>37</v>
      </c>
      <c r="B41" s="54" t="inlineStr">
        <is>
          <t>自然资源部办公厅 农业农村部办公厅关于优化养殖用海管理的通知</t>
        </is>
      </c>
      <c r="C41" s="54" t="inlineStr">
        <is>
          <t>自然资办发〔2023〕55号</t>
        </is>
      </c>
      <c r="D41" s="54" t="inlineStr">
        <is>
          <t>政策文件</t>
        </is>
      </c>
      <c r="E41" s="54" t="inlineStr">
        <is>
          <t>国家</t>
        </is>
      </c>
      <c r="F41" s="54" t="inlineStr">
        <is>
          <t>自然资源部</t>
        </is>
      </c>
      <c r="G41" s="55" t="n">
        <v>45273</v>
      </c>
      <c r="H41" s="55" t="n">
        <v>45273</v>
      </c>
      <c r="I41" s="54" t="inlineStr">
        <is>
          <t>现行有效</t>
        </is>
      </c>
      <c r="J41" s="54" t="inlineStr">
        <is>
          <t>海洋空间与用海管理</t>
        </is>
      </c>
      <c r="K41" s="54" t="inlineStr">
        <is>
          <t>海洋可再生能源</t>
        </is>
      </c>
      <c r="L41" s="53" t="n">
        <v>3</v>
      </c>
      <c r="M41" s="53" t="n"/>
      <c r="N41" s="54" t="n">
        <v>2</v>
      </c>
      <c r="O41" s="54" t="inlineStr">
        <is>
          <t>中</t>
        </is>
      </c>
      <c r="P41" s="54" t="inlineStr">
        <is>
          <t>是</t>
        </is>
      </c>
      <c r="Q41" s="54" t="inlineStr">
        <is>
          <t>发布机关官网</t>
        </is>
      </c>
      <c r="R41" s="54" t="inlineStr">
        <is>
          <t>规划，用海许可，能源岛</t>
        </is>
      </c>
    </row>
    <row r="42" ht="26.85" customHeight="1" s="42">
      <c r="A42" s="53" t="n">
        <v>38</v>
      </c>
      <c r="B42" s="54" t="inlineStr">
        <is>
          <t>自然资源部关于进一步做好用地用海要素保障的通知</t>
        </is>
      </c>
      <c r="C42" s="54" t="inlineStr">
        <is>
          <t>自然资发〔2023〕89号</t>
        </is>
      </c>
      <c r="D42" s="54" t="inlineStr">
        <is>
          <t>政策文件</t>
        </is>
      </c>
      <c r="E42" s="54" t="inlineStr">
        <is>
          <t>国家</t>
        </is>
      </c>
      <c r="F42" s="54" t="inlineStr">
        <is>
          <t>自然资源部</t>
        </is>
      </c>
      <c r="G42" s="55" t="n">
        <v>45090</v>
      </c>
      <c r="H42" s="55" t="n">
        <v>45090</v>
      </c>
      <c r="I42" s="54" t="inlineStr">
        <is>
          <t>已废止</t>
        </is>
      </c>
      <c r="J42" s="54" t="inlineStr">
        <is>
          <t>海洋空间与用海管理</t>
        </is>
      </c>
      <c r="K42" s="54" t="inlineStr">
        <is>
          <t>规划与区划</t>
        </is>
      </c>
      <c r="L42" s="53" t="n">
        <v>3</v>
      </c>
      <c r="M42" s="54" t="inlineStr">
        <is>
          <t>自然资源部关于积极做好用地用海要素保障的通知</t>
        </is>
      </c>
      <c r="N42" s="54" t="n">
        <v>5</v>
      </c>
      <c r="O42" s="54" t="inlineStr">
        <is>
          <t>难</t>
        </is>
      </c>
      <c r="P42" s="54" t="inlineStr">
        <is>
          <t>是</t>
        </is>
      </c>
      <c r="Q42" s="54" t="inlineStr">
        <is>
          <t>发布机关官网</t>
        </is>
      </c>
      <c r="R42" s="54" t="n"/>
    </row>
    <row r="43" ht="15" customHeight="1" s="42">
      <c r="A43" s="53" t="n">
        <v>39</v>
      </c>
      <c r="B43" s="54" t="inlineStr">
        <is>
          <t>自然资源部关于积极做好用地用海要素保障的通知</t>
        </is>
      </c>
      <c r="C43" s="54" t="inlineStr">
        <is>
          <t>自然资发〔2022〕129号</t>
        </is>
      </c>
      <c r="D43" s="54" t="inlineStr">
        <is>
          <t>政策文件</t>
        </is>
      </c>
      <c r="E43" s="54" t="inlineStr">
        <is>
          <t>国家</t>
        </is>
      </c>
      <c r="F43" s="54" t="inlineStr">
        <is>
          <t>自然资源部</t>
        </is>
      </c>
      <c r="G43" s="55" t="n">
        <v>44775</v>
      </c>
      <c r="H43" s="55" t="n">
        <v>44775</v>
      </c>
      <c r="I43" s="54" t="inlineStr">
        <is>
          <t>已废止</t>
        </is>
      </c>
      <c r="J43" s="54" t="inlineStr">
        <is>
          <t>海洋空间与用海管理</t>
        </is>
      </c>
      <c r="K43" s="54" t="inlineStr">
        <is>
          <t>规划与区划</t>
        </is>
      </c>
      <c r="L43" s="53" t="n">
        <v>3</v>
      </c>
      <c r="M43" s="53" t="n"/>
      <c r="N43" s="54" t="n">
        <v>5</v>
      </c>
      <c r="O43" s="54" t="inlineStr">
        <is>
          <t>中</t>
        </is>
      </c>
      <c r="P43" s="54" t="inlineStr">
        <is>
          <t>是</t>
        </is>
      </c>
      <c r="Q43" s="54" t="inlineStr">
        <is>
          <t>发布机关官网</t>
        </is>
      </c>
      <c r="R43" s="54" t="inlineStr">
        <is>
          <t>印发之日起施行，有效期2年</t>
        </is>
      </c>
    </row>
    <row r="44" ht="26.85" customHeight="1" s="42">
      <c r="A44" s="53" t="n">
        <v>40</v>
      </c>
      <c r="B44" s="54" t="inlineStr">
        <is>
          <t>自然资源部关于实施海砂采矿权和海域使用权“两权合一”招拍挂出让的通知</t>
        </is>
      </c>
      <c r="C44" s="54" t="inlineStr">
        <is>
          <t>自然资规〔2019〕5号</t>
        </is>
      </c>
      <c r="D44" s="54" t="inlineStr">
        <is>
          <t>政策文件</t>
        </is>
      </c>
      <c r="E44" s="54" t="inlineStr">
        <is>
          <t>国家</t>
        </is>
      </c>
      <c r="F44" s="54" t="inlineStr">
        <is>
          <t>自然资源部</t>
        </is>
      </c>
      <c r="G44" s="55" t="n">
        <v>43816</v>
      </c>
      <c r="H44" s="55" t="n">
        <v>43816</v>
      </c>
      <c r="I44" s="54" t="inlineStr">
        <is>
          <t>已废止</t>
        </is>
      </c>
      <c r="J44" s="54" t="inlineStr">
        <is>
          <t>海洋油气与矿产资源</t>
        </is>
      </c>
      <c r="K44" s="54" t="inlineStr">
        <is>
          <t>海洋空间与用海管理</t>
        </is>
      </c>
      <c r="L44" s="53" t="n">
        <v>3</v>
      </c>
      <c r="M44" s="53" t="n"/>
      <c r="N44" s="54" t="n">
        <v>3</v>
      </c>
      <c r="O44" s="54" t="inlineStr">
        <is>
          <t>难</t>
        </is>
      </c>
      <c r="P44" s="54" t="inlineStr">
        <is>
          <t>是</t>
        </is>
      </c>
      <c r="Q44" s="54" t="inlineStr">
        <is>
          <t>发布机关官网</t>
        </is>
      </c>
      <c r="R44" s="54" t="inlineStr">
        <is>
          <t>本通知自颁布之日起实施，有效期3年</t>
        </is>
      </c>
    </row>
    <row r="45" ht="26.85" customHeight="1" s="42">
      <c r="A45" s="53" t="n">
        <v>41</v>
      </c>
      <c r="B45" s="54" t="inlineStr">
        <is>
          <t>关于印发《调整海域 无居民海岛使用金征收标准》的通知</t>
        </is>
      </c>
      <c r="C45" s="54" t="inlineStr">
        <is>
          <t>财综〔2018〕15号</t>
        </is>
      </c>
      <c r="D45" s="54" t="inlineStr">
        <is>
          <t>政策文件</t>
        </is>
      </c>
      <c r="E45" s="54" t="inlineStr">
        <is>
          <t>国家</t>
        </is>
      </c>
      <c r="F45" s="54" t="inlineStr">
        <is>
          <t>财政部</t>
        </is>
      </c>
      <c r="G45" s="55" t="n">
        <v>43172</v>
      </c>
      <c r="H45" s="55" t="n">
        <v>43172</v>
      </c>
      <c r="I45" s="54" t="inlineStr">
        <is>
          <t>现行有效</t>
        </is>
      </c>
      <c r="J45" s="54" t="inlineStr">
        <is>
          <t>价格、财税与市场机制</t>
        </is>
      </c>
      <c r="K45" s="54" t="inlineStr">
        <is>
          <t>海洋空间与用海管理</t>
        </is>
      </c>
      <c r="L45" s="53" t="n">
        <v>3</v>
      </c>
      <c r="M45" s="53" t="n"/>
      <c r="N45" s="54" t="n">
        <v>10</v>
      </c>
      <c r="O45" s="54" t="inlineStr">
        <is>
          <t>中</t>
        </is>
      </c>
      <c r="P45" s="54" t="inlineStr">
        <is>
          <t>是</t>
        </is>
      </c>
      <c r="Q45" s="54" t="inlineStr">
        <is>
          <t>发布机关官网</t>
        </is>
      </c>
      <c r="R45" s="54" t="n"/>
    </row>
    <row r="46" ht="26.85" customHeight="1" s="42">
      <c r="A46" s="53" t="n">
        <v>42</v>
      </c>
      <c r="B46" s="54" t="inlineStr">
        <is>
          <t>国务院关于国土资源部《报国务院批准的项目用海审批办法》的批复</t>
        </is>
      </c>
      <c r="C46" s="54" t="inlineStr">
        <is>
          <t>国函〔2003〕44号</t>
        </is>
      </c>
      <c r="D46" s="54" t="inlineStr">
        <is>
          <t>政策文件</t>
        </is>
      </c>
      <c r="E46" s="54" t="inlineStr">
        <is>
          <t>国家</t>
        </is>
      </c>
      <c r="F46" s="54" t="inlineStr">
        <is>
          <t>国务院</t>
        </is>
      </c>
      <c r="G46" s="55" t="n">
        <v>39535</v>
      </c>
      <c r="H46" s="55" t="n">
        <v>37730</v>
      </c>
      <c r="I46" s="54" t="inlineStr">
        <is>
          <t>现行有效</t>
        </is>
      </c>
      <c r="J46" s="54" t="inlineStr">
        <is>
          <t>海洋空间与用海管理</t>
        </is>
      </c>
      <c r="K46" s="54" t="n"/>
      <c r="L46" s="53" t="n">
        <v>3</v>
      </c>
      <c r="M46" s="53" t="n"/>
      <c r="N46" s="54" t="n">
        <v>5</v>
      </c>
      <c r="O46" s="54" t="inlineStr">
        <is>
          <t>中</t>
        </is>
      </c>
      <c r="P46" s="54" t="inlineStr">
        <is>
          <t>是</t>
        </is>
      </c>
      <c r="Q46" s="54" t="inlineStr">
        <is>
          <t>发布机关官网</t>
        </is>
      </c>
      <c r="R46" s="54" t="n"/>
    </row>
    <row r="47" ht="26.85" customHeight="1" s="42">
      <c r="A47" s="53" t="n">
        <v>43</v>
      </c>
      <c r="B47" s="54" t="inlineStr">
        <is>
          <t>中华人民共和国国家发展规划法</t>
        </is>
      </c>
      <c r="C47" s="54" t="inlineStr">
        <is>
          <t>中华人民共和国主席令（第七十二号）</t>
        </is>
      </c>
      <c r="D47" s="54" t="inlineStr">
        <is>
          <t>法律</t>
        </is>
      </c>
      <c r="E47" s="54" t="inlineStr">
        <is>
          <t>国家</t>
        </is>
      </c>
      <c r="F47" s="54" t="inlineStr">
        <is>
          <t>全国人大及其常委会</t>
        </is>
      </c>
      <c r="G47" s="55" t="n">
        <v>46093</v>
      </c>
      <c r="H47" s="55" t="n">
        <v>46093</v>
      </c>
      <c r="I47" s="54" t="inlineStr">
        <is>
          <t>现行有效</t>
        </is>
      </c>
      <c r="J47" s="54" t="inlineStr">
        <is>
          <t>规划与区划</t>
        </is>
      </c>
      <c r="K47" s="54" t="n"/>
      <c r="L47" s="53" t="n">
        <v>2</v>
      </c>
      <c r="M47" s="53" t="n"/>
      <c r="N47" s="54" t="n">
        <v>30</v>
      </c>
      <c r="O47" s="54" t="inlineStr">
        <is>
          <t>中</t>
        </is>
      </c>
      <c r="P47" s="54" t="inlineStr">
        <is>
          <t>是</t>
        </is>
      </c>
      <c r="Q47" s="54" t="inlineStr">
        <is>
          <t>国家法律法规数据库</t>
        </is>
      </c>
      <c r="R47" s="54" t="n"/>
    </row>
    <row r="48" ht="26.85" customHeight="1" s="42">
      <c r="A48" s="53" t="n">
        <v>44</v>
      </c>
      <c r="B48" s="54" t="inlineStr">
        <is>
          <t>中华人民共和国节约能源法</t>
        </is>
      </c>
      <c r="C48" s="54" t="inlineStr">
        <is>
          <t>中华人民共和国主席令第16号</t>
        </is>
      </c>
      <c r="D48" s="54" t="inlineStr">
        <is>
          <t>法律</t>
        </is>
      </c>
      <c r="E48" s="54" t="inlineStr">
        <is>
          <t>国家</t>
        </is>
      </c>
      <c r="F48" s="54" t="inlineStr">
        <is>
          <t>全国人大及其常委会</t>
        </is>
      </c>
      <c r="G48" s="55" t="n">
        <v>43399</v>
      </c>
      <c r="H48" s="55" t="n">
        <v>43399</v>
      </c>
      <c r="I48" s="54" t="inlineStr">
        <is>
          <t>现行有效</t>
        </is>
      </c>
      <c r="J48" s="54" t="inlineStr">
        <is>
          <t>能源基础设施</t>
        </is>
      </c>
      <c r="K48" s="54" t="inlineStr">
        <is>
          <t>生态环境与海岛保护</t>
        </is>
      </c>
      <c r="L48" s="53" t="n">
        <v>2</v>
      </c>
      <c r="M48" s="53" t="n"/>
      <c r="N48" s="54" t="n">
        <v>4</v>
      </c>
      <c r="O48" s="54" t="inlineStr">
        <is>
          <t>难</t>
        </is>
      </c>
      <c r="P48" s="54" t="inlineStr">
        <is>
          <t>是</t>
        </is>
      </c>
      <c r="Q48" s="54" t="inlineStr">
        <is>
          <t>国家法律法规数据库</t>
        </is>
      </c>
      <c r="R48" s="54" t="n"/>
    </row>
    <row r="49" ht="26.85" customHeight="1" s="42">
      <c r="A49" s="53" t="n">
        <v>45</v>
      </c>
      <c r="B49" s="54" t="inlineStr">
        <is>
          <t>中华人民共和国涉外海洋科学研究管理规定</t>
        </is>
      </c>
      <c r="C49" s="54" t="inlineStr">
        <is>
          <t>中华人民共和国国务院令第199号</t>
        </is>
      </c>
      <c r="D49" s="54" t="inlineStr">
        <is>
          <t>行政法规</t>
        </is>
      </c>
      <c r="E49" s="54" t="inlineStr">
        <is>
          <t>国家</t>
        </is>
      </c>
      <c r="F49" s="54" t="inlineStr">
        <is>
          <t>国务院</t>
        </is>
      </c>
      <c r="G49" s="55" t="n">
        <v>35234</v>
      </c>
      <c r="H49" s="55" t="n">
        <v>35339</v>
      </c>
      <c r="I49" s="54" t="inlineStr">
        <is>
          <t>现行有效</t>
        </is>
      </c>
      <c r="J49" s="54" t="inlineStr">
        <is>
          <t>海洋权益与涉外事务</t>
        </is>
      </c>
      <c r="K49" s="54" t="inlineStr">
        <is>
          <t>海洋观测与数据统计</t>
        </is>
      </c>
      <c r="L49" s="53" t="n">
        <v>2</v>
      </c>
      <c r="M49" s="53" t="n"/>
      <c r="N49" s="54" t="n">
        <v>2</v>
      </c>
      <c r="O49" s="54" t="inlineStr">
        <is>
          <t>易</t>
        </is>
      </c>
      <c r="P49" s="54" t="inlineStr">
        <is>
          <t>是</t>
        </is>
      </c>
      <c r="Q49" s="54" t="inlineStr">
        <is>
          <t>国家行政法规数据库</t>
        </is>
      </c>
      <c r="R49" s="54" t="n"/>
    </row>
    <row r="50" ht="26.85" customHeight="1" s="42">
      <c r="A50" s="53" t="n">
        <v>46</v>
      </c>
      <c r="B50" s="54" t="inlineStr">
        <is>
          <t>关于印发《入海排污口监督管理办法（试行）》的通知</t>
        </is>
      </c>
      <c r="C50" s="54" t="inlineStr">
        <is>
          <t>环海洋〔2024〕72号</t>
        </is>
      </c>
      <c r="D50" s="54" t="inlineStr">
        <is>
          <t>规范性文件</t>
        </is>
      </c>
      <c r="E50" s="54" t="inlineStr">
        <is>
          <t>国家</t>
        </is>
      </c>
      <c r="F50" s="54" t="inlineStr">
        <is>
          <t>生态环境部</t>
        </is>
      </c>
      <c r="G50" s="55" t="n">
        <v>45567</v>
      </c>
      <c r="H50" s="55" t="n">
        <v>45567</v>
      </c>
      <c r="I50" s="54" t="inlineStr">
        <is>
          <t>现行有效</t>
        </is>
      </c>
      <c r="J50" s="54" t="inlineStr">
        <is>
          <t>生态环境与海岛保护</t>
        </is>
      </c>
      <c r="K50" s="54" t="n"/>
      <c r="L50" s="53" t="n">
        <v>2</v>
      </c>
      <c r="M50" s="53" t="n"/>
      <c r="N50" s="54" t="n">
        <v>2</v>
      </c>
      <c r="O50" s="54" t="inlineStr">
        <is>
          <t>易</t>
        </is>
      </c>
      <c r="P50" s="54" t="inlineStr">
        <is>
          <t>是</t>
        </is>
      </c>
      <c r="Q50" s="54" t="inlineStr">
        <is>
          <t>发布机关官网</t>
        </is>
      </c>
      <c r="R50" s="54" t="n"/>
    </row>
    <row r="51" ht="26.85" customHeight="1" s="42">
      <c r="A51" s="53" t="n">
        <v>47</v>
      </c>
      <c r="B51" s="54" t="inlineStr">
        <is>
          <t>自然资源部关于取消“海域使用论证单位资质认定”后加强事中事后监管的公告</t>
        </is>
      </c>
      <c r="C51" s="54" t="inlineStr">
        <is>
          <t>自然资源部公告2019年第13号</t>
        </is>
      </c>
      <c r="D51" s="54" t="inlineStr">
        <is>
          <t>规范性文件</t>
        </is>
      </c>
      <c r="E51" s="54" t="inlineStr">
        <is>
          <t>国家</t>
        </is>
      </c>
      <c r="F51" s="54" t="inlineStr">
        <is>
          <t>自然资源部</t>
        </is>
      </c>
      <c r="G51" s="55" t="n">
        <v>43556</v>
      </c>
      <c r="H51" s="55" t="n">
        <v>43556</v>
      </c>
      <c r="I51" s="54" t="inlineStr">
        <is>
          <t>现行有效</t>
        </is>
      </c>
      <c r="J51" s="54" t="inlineStr">
        <is>
          <t>海洋空间与用海管理</t>
        </is>
      </c>
      <c r="K51" s="54" t="n"/>
      <c r="L51" s="53" t="n">
        <v>2</v>
      </c>
      <c r="M51" s="53" t="n"/>
      <c r="N51" s="54" t="n">
        <v>2</v>
      </c>
      <c r="O51" s="54" t="inlineStr">
        <is>
          <t>易</t>
        </is>
      </c>
      <c r="P51" s="54" t="inlineStr">
        <is>
          <t>是</t>
        </is>
      </c>
      <c r="Q51" s="54" t="inlineStr">
        <is>
          <t>发布机关官网</t>
        </is>
      </c>
      <c r="R51" s="54" t="n"/>
    </row>
    <row r="52" ht="26.85" customHeight="1" s="42">
      <c r="A52" s="53" t="n">
        <v>48</v>
      </c>
      <c r="B52" s="54" t="inlineStr">
        <is>
          <t>中华人民共和国政府关于在南海的领土主权和海洋权益的声明</t>
        </is>
      </c>
      <c r="C52" s="54" t="inlineStr">
        <is>
          <t>无文号</t>
        </is>
      </c>
      <c r="D52" s="54" t="inlineStr">
        <is>
          <t>规范性文件</t>
        </is>
      </c>
      <c r="E52" s="54" t="inlineStr">
        <is>
          <t>国家</t>
        </is>
      </c>
      <c r="F52" s="54" t="inlineStr">
        <is>
          <t>国务院</t>
        </is>
      </c>
      <c r="G52" s="55" t="n">
        <v>42563</v>
      </c>
      <c r="H52" s="55" t="n">
        <v>42563</v>
      </c>
      <c r="I52" s="54" t="inlineStr">
        <is>
          <t>现行有效</t>
        </is>
      </c>
      <c r="J52" s="54" t="inlineStr">
        <is>
          <t>海洋权益与涉外事务</t>
        </is>
      </c>
      <c r="K52" s="54" t="inlineStr">
        <is>
          <t>海洋空间与用海管理</t>
        </is>
      </c>
      <c r="L52" s="53" t="n">
        <v>2</v>
      </c>
      <c r="M52" s="53" t="n"/>
      <c r="N52" s="54" t="n">
        <v>1</v>
      </c>
      <c r="O52" s="54" t="inlineStr">
        <is>
          <t>难</t>
        </is>
      </c>
      <c r="P52" s="54" t="inlineStr">
        <is>
          <t>是</t>
        </is>
      </c>
      <c r="Q52" s="54" t="inlineStr">
        <is>
          <t>北大法宝</t>
        </is>
      </c>
      <c r="R52" s="54" t="n"/>
    </row>
    <row r="53" ht="26.85" customHeight="1" s="42">
      <c r="A53" s="53" t="n">
        <v>49</v>
      </c>
      <c r="B53" s="54" t="inlineStr">
        <is>
          <t>国务院、中央军委关于在南沙群岛建设海洋观测站的批复</t>
        </is>
      </c>
      <c r="C53" s="54" t="inlineStr">
        <is>
          <t>国函〔1987〕175号</t>
        </is>
      </c>
      <c r="D53" s="54" t="inlineStr">
        <is>
          <t>规范性文件</t>
        </is>
      </c>
      <c r="E53" s="54" t="inlineStr">
        <is>
          <t>国家</t>
        </is>
      </c>
      <c r="F53" s="54" t="inlineStr">
        <is>
          <t>国务院</t>
        </is>
      </c>
      <c r="G53" s="55" t="n">
        <v>41617</v>
      </c>
      <c r="H53" s="55" t="n">
        <v>32087</v>
      </c>
      <c r="I53" s="54" t="inlineStr">
        <is>
          <t>现行有效</t>
        </is>
      </c>
      <c r="J53" s="54" t="inlineStr">
        <is>
          <t>海洋权益与涉外事务</t>
        </is>
      </c>
      <c r="K53" s="54" t="inlineStr">
        <is>
          <t>海洋观测与数据统计</t>
        </is>
      </c>
      <c r="L53" s="53" t="n">
        <v>2</v>
      </c>
      <c r="M53" s="53" t="n"/>
      <c r="N53" s="54" t="n">
        <v>2</v>
      </c>
      <c r="O53" s="54" t="inlineStr">
        <is>
          <t>难</t>
        </is>
      </c>
      <c r="P53" s="54" t="inlineStr">
        <is>
          <t>是</t>
        </is>
      </c>
      <c r="Q53" s="54" t="inlineStr">
        <is>
          <t>发布机关官网</t>
        </is>
      </c>
      <c r="R53" s="54" t="inlineStr">
        <is>
          <t>识别主权、主权权利、主权与主权权利外区域</t>
        </is>
      </c>
    </row>
    <row r="54" ht="26.85" customHeight="1" s="42">
      <c r="A54" s="53" t="n">
        <v>50</v>
      </c>
      <c r="B54" s="54" t="inlineStr">
        <is>
          <t>国务院、中央军委批转国家海洋局等部门关于加强与外国合作进行海洋调查研究管理工作请示的通知</t>
        </is>
      </c>
      <c r="C54" s="54" t="inlineStr">
        <is>
          <t>国发〔1986〕62号</t>
        </is>
      </c>
      <c r="D54" s="54" t="inlineStr">
        <is>
          <t>规范性文件</t>
        </is>
      </c>
      <c r="E54" s="54" t="inlineStr">
        <is>
          <t>国家</t>
        </is>
      </c>
      <c r="F54" s="54" t="inlineStr">
        <is>
          <t>国务院</t>
        </is>
      </c>
      <c r="G54" s="55" t="n">
        <v>41561</v>
      </c>
      <c r="H54" s="55" t="n">
        <v>31576</v>
      </c>
      <c r="I54" s="54" t="inlineStr">
        <is>
          <t>现行有效</t>
        </is>
      </c>
      <c r="J54" s="54" t="inlineStr">
        <is>
          <t>海洋权益与涉外事务</t>
        </is>
      </c>
      <c r="K54" s="54" t="inlineStr">
        <is>
          <t>海洋观测与数据统计</t>
        </is>
      </c>
      <c r="L54" s="53" t="n">
        <v>2</v>
      </c>
      <c r="M54" s="53" t="n"/>
      <c r="N54" s="54" t="n">
        <v>2</v>
      </c>
      <c r="O54" s="54" t="inlineStr">
        <is>
          <t>难</t>
        </is>
      </c>
      <c r="P54" s="54" t="inlineStr">
        <is>
          <t>是</t>
        </is>
      </c>
      <c r="Q54" s="54" t="inlineStr">
        <is>
          <t>发布机关官网</t>
        </is>
      </c>
      <c r="R54" s="54" t="inlineStr">
        <is>
          <t>与新近政策文件的衔接</t>
        </is>
      </c>
    </row>
    <row r="55" ht="15" customHeight="1" s="42">
      <c r="A55" s="53" t="n">
        <v>51</v>
      </c>
      <c r="B55" s="54" t="inlineStr">
        <is>
          <t>关于印发《海水淡化产业发展行动方案》的通知</t>
        </is>
      </c>
      <c r="C55" s="54" t="inlineStr">
        <is>
          <t>发改环资〔2026〕1062号</t>
        </is>
      </c>
      <c r="D55" s="54" t="inlineStr">
        <is>
          <t>政策文件</t>
        </is>
      </c>
      <c r="E55" s="54" t="inlineStr">
        <is>
          <t>国家</t>
        </is>
      </c>
      <c r="F55" s="54" t="inlineStr">
        <is>
          <t>国家发展改革委</t>
        </is>
      </c>
      <c r="G55" s="55" t="n">
        <v>46205</v>
      </c>
      <c r="H55" s="55" t="n">
        <v>46205</v>
      </c>
      <c r="I55" s="54" t="inlineStr">
        <is>
          <t>现行有效</t>
        </is>
      </c>
      <c r="J55" s="54" t="inlineStr">
        <is>
          <t>规划与区划</t>
        </is>
      </c>
      <c r="K55" s="54" t="inlineStr">
        <is>
          <t>海洋可再生能源</t>
        </is>
      </c>
      <c r="L55" s="53" t="n">
        <v>2</v>
      </c>
      <c r="M55" s="53" t="n"/>
      <c r="N55" s="54" t="n">
        <v>3</v>
      </c>
      <c r="O55" s="54" t="inlineStr">
        <is>
          <t>中</t>
        </is>
      </c>
      <c r="P55" s="54" t="inlineStr">
        <is>
          <t>是</t>
        </is>
      </c>
      <c r="Q55" s="54" t="inlineStr">
        <is>
          <t>发布机关官网</t>
        </is>
      </c>
      <c r="R55" s="54" t="n"/>
    </row>
    <row r="56" ht="26.85" customHeight="1" s="42">
      <c r="A56" s="53" t="n">
        <v>52</v>
      </c>
      <c r="B56" s="54" t="inlineStr">
        <is>
          <t>中华人民共和国国民经济和社会发展第十五个五年规划纲要</t>
        </is>
      </c>
      <c r="C56" s="54" t="inlineStr">
        <is>
          <t>无文号</t>
        </is>
      </c>
      <c r="D56" s="54" t="inlineStr">
        <is>
          <t>政策文件</t>
        </is>
      </c>
      <c r="E56" s="54" t="inlineStr">
        <is>
          <t>国家</t>
        </is>
      </c>
      <c r="F56" s="54" t="inlineStr">
        <is>
          <t>全国人大及其常委会</t>
        </is>
      </c>
      <c r="G56" s="55" t="n">
        <v>46093</v>
      </c>
      <c r="H56" s="55" t="n">
        <v>46093</v>
      </c>
      <c r="I56" s="54" t="inlineStr">
        <is>
          <t>现行有效</t>
        </is>
      </c>
      <c r="J56" s="54" t="inlineStr">
        <is>
          <t>规划与区划</t>
        </is>
      </c>
      <c r="K56" s="54" t="n"/>
      <c r="L56" s="53" t="n">
        <v>2</v>
      </c>
      <c r="M56" s="53" t="n"/>
      <c r="N56" s="54" t="n">
        <v>8</v>
      </c>
      <c r="O56" s="54" t="inlineStr">
        <is>
          <t>中</t>
        </is>
      </c>
      <c r="P56" s="54" t="inlineStr">
        <is>
          <t>是</t>
        </is>
      </c>
      <c r="Q56" s="54" t="inlineStr">
        <is>
          <t>发布机关官网</t>
        </is>
      </c>
      <c r="R56" s="54" t="n"/>
    </row>
    <row r="57" ht="39.55" customHeight="1" s="42">
      <c r="A57" s="53" t="n">
        <v>53</v>
      </c>
      <c r="B57" s="54" t="inlineStr">
        <is>
          <t>海洋生产总值核算制度</t>
        </is>
      </c>
      <c r="C57" s="54" t="inlineStr">
        <is>
          <t>无文号</t>
        </is>
      </c>
      <c r="D57" s="54" t="inlineStr">
        <is>
          <t>政策文件</t>
        </is>
      </c>
      <c r="E57" s="54" t="inlineStr">
        <is>
          <t>国家</t>
        </is>
      </c>
      <c r="F57" s="54" t="inlineStr">
        <is>
          <t>自然资源部</t>
        </is>
      </c>
      <c r="G57" s="55" t="n">
        <v>45052</v>
      </c>
      <c r="H57" s="55" t="n">
        <v>45018</v>
      </c>
      <c r="I57" s="54" t="inlineStr">
        <is>
          <t>已废止</t>
        </is>
      </c>
      <c r="J57" s="54" t="inlineStr">
        <is>
          <t>海洋观测与数据统计</t>
        </is>
      </c>
      <c r="K57" s="54" t="n"/>
      <c r="L57" s="53" t="n">
        <v>2</v>
      </c>
      <c r="M57" s="54" t="inlineStr">
        <is>
          <t>自然资源部办公厅关于印发《海洋经济统计调查制度》和《海洋生产总值核算制度》的通知</t>
        </is>
      </c>
      <c r="N57" s="54" t="n">
        <v>5</v>
      </c>
      <c r="O57" s="54" t="inlineStr">
        <is>
          <t>中</t>
        </is>
      </c>
      <c r="P57" s="54" t="inlineStr">
        <is>
          <t>是</t>
        </is>
      </c>
      <c r="Q57" s="54" t="inlineStr">
        <is>
          <t>发布机关官网</t>
        </is>
      </c>
      <c r="R57" s="54" t="inlineStr">
        <is>
          <t>已批准自2023年4月开始执行，有效期3年。</t>
        </is>
      </c>
    </row>
    <row r="58" ht="39.55" customHeight="1" s="42">
      <c r="A58" s="53" t="n">
        <v>54</v>
      </c>
      <c r="B58" s="54" t="inlineStr">
        <is>
          <t>海洋经济统计调查制度</t>
        </is>
      </c>
      <c r="C58" s="54" t="inlineStr">
        <is>
          <t>无文号</t>
        </is>
      </c>
      <c r="D58" s="54" t="inlineStr">
        <is>
          <t>政策文件</t>
        </is>
      </c>
      <c r="E58" s="54" t="inlineStr">
        <is>
          <t>国家</t>
        </is>
      </c>
      <c r="F58" s="54" t="inlineStr">
        <is>
          <t>自然资源部</t>
        </is>
      </c>
      <c r="G58" s="55" t="n">
        <v>45052</v>
      </c>
      <c r="H58" s="55" t="n">
        <v>45017</v>
      </c>
      <c r="I58" s="54" t="inlineStr">
        <is>
          <t>已废止</t>
        </is>
      </c>
      <c r="J58" s="54" t="inlineStr">
        <is>
          <t>海洋观测与数据统计</t>
        </is>
      </c>
      <c r="K58" s="54" t="n"/>
      <c r="L58" s="53" t="n">
        <v>2</v>
      </c>
      <c r="M58" s="54" t="inlineStr">
        <is>
          <t>自然资源部办公厅关于印发《海洋经济统计调查制度》和《海洋生产总值核算制度》的通知</t>
        </is>
      </c>
      <c r="N58" s="54" t="n">
        <v>3</v>
      </c>
      <c r="O58" s="54" t="inlineStr">
        <is>
          <t>中</t>
        </is>
      </c>
      <c r="P58" s="54" t="inlineStr">
        <is>
          <t>是</t>
        </is>
      </c>
      <c r="Q58" s="54" t="inlineStr">
        <is>
          <t>发布机关官网</t>
        </is>
      </c>
      <c r="R58" s="54" t="inlineStr">
        <is>
          <t>已批准自2023年4月开始执行，有效期3年。</t>
        </is>
      </c>
    </row>
    <row r="59" ht="26.85" customHeight="1" s="42">
      <c r="A59" s="53" t="n">
        <v>55</v>
      </c>
      <c r="B59" s="54" t="inlineStr">
        <is>
          <t>自然资源部办公厅关于进一步加强海洋观测预报活动监管的通知</t>
        </is>
      </c>
      <c r="C59" s="54" t="inlineStr">
        <is>
          <t>自然资办发〔2022〕44号</t>
        </is>
      </c>
      <c r="D59" s="54" t="inlineStr">
        <is>
          <t>政策文件</t>
        </is>
      </c>
      <c r="E59" s="54" t="inlineStr">
        <is>
          <t>国家</t>
        </is>
      </c>
      <c r="F59" s="54" t="inlineStr">
        <is>
          <t>自然资源部</t>
        </is>
      </c>
      <c r="G59" s="55" t="n">
        <v>44842</v>
      </c>
      <c r="H59" s="55" t="n">
        <v>44842</v>
      </c>
      <c r="I59" s="54" t="inlineStr">
        <is>
          <t>现行有效</t>
        </is>
      </c>
      <c r="J59" s="54" t="inlineStr">
        <is>
          <t>海洋观测与数据统计</t>
        </is>
      </c>
      <c r="K59" s="54" t="n"/>
      <c r="L59" s="53" t="n">
        <v>2</v>
      </c>
      <c r="M59" s="54" t="inlineStr">
        <is>
          <t>海洋观测预报管理条例</t>
        </is>
      </c>
      <c r="N59" s="54" t="n">
        <v>0</v>
      </c>
      <c r="O59" s="54" t="inlineStr">
        <is>
          <t>易</t>
        </is>
      </c>
      <c r="P59" s="54" t="inlineStr">
        <is>
          <t>是</t>
        </is>
      </c>
      <c r="Q59" s="54" t="inlineStr">
        <is>
          <t>发布机关官网</t>
        </is>
      </c>
      <c r="R59" s="54" t="n"/>
    </row>
    <row r="60" ht="26.85" customHeight="1" s="42">
      <c r="A60" s="53" t="n">
        <v>56</v>
      </c>
      <c r="B60" s="54" t="inlineStr">
        <is>
          <t>国务院关于“十四五”海洋经济发展规划的批复</t>
        </is>
      </c>
      <c r="C60" s="54" t="inlineStr">
        <is>
          <t>国函〔2021〕131号</t>
        </is>
      </c>
      <c r="D60" s="54" t="inlineStr">
        <is>
          <t>政策文件</t>
        </is>
      </c>
      <c r="E60" s="54" t="inlineStr">
        <is>
          <t>国家</t>
        </is>
      </c>
      <c r="F60" s="54" t="inlineStr">
        <is>
          <t>国务院</t>
        </is>
      </c>
      <c r="G60" s="55" t="n">
        <v>44557</v>
      </c>
      <c r="H60" s="55" t="n">
        <v>44557</v>
      </c>
      <c r="I60" s="54" t="inlineStr">
        <is>
          <t>已废止</t>
        </is>
      </c>
      <c r="J60" s="54" t="inlineStr">
        <is>
          <t>规划与区划</t>
        </is>
      </c>
      <c r="K60" s="54" t="n"/>
      <c r="L60" s="53" t="n">
        <v>2</v>
      </c>
      <c r="M60" s="54" t="inlineStr">
        <is>
          <t>国务院关于印发全国海洋经济发展“十二五”规划的通知</t>
        </is>
      </c>
      <c r="N60" s="54" t="n">
        <v>0</v>
      </c>
      <c r="O60" s="54" t="inlineStr">
        <is>
          <t>易</t>
        </is>
      </c>
      <c r="P60" s="54" t="inlineStr">
        <is>
          <t>是</t>
        </is>
      </c>
      <c r="Q60" s="54" t="inlineStr">
        <is>
          <t>发布机关官网</t>
        </is>
      </c>
      <c r="R60" s="54" t="n"/>
    </row>
    <row r="61" ht="15" customHeight="1" s="42">
      <c r="A61" s="53" t="n">
        <v>57</v>
      </c>
      <c r="B61" s="54" t="inlineStr">
        <is>
          <t>自然资源部关于规范海域使用论证材料编制的通知</t>
        </is>
      </c>
      <c r="C61" s="54" t="inlineStr">
        <is>
          <t>自然资规〔2021〕1号</t>
        </is>
      </c>
      <c r="D61" s="54" t="inlineStr">
        <is>
          <t>政策文件</t>
        </is>
      </c>
      <c r="E61" s="54" t="inlineStr">
        <is>
          <t>国家</t>
        </is>
      </c>
      <c r="F61" s="54" t="inlineStr">
        <is>
          <t>自然资源部</t>
        </is>
      </c>
      <c r="G61" s="55" t="n">
        <v>44202</v>
      </c>
      <c r="H61" s="55" t="n">
        <v>44202</v>
      </c>
      <c r="I61" s="54" t="inlineStr">
        <is>
          <t>已废止</t>
        </is>
      </c>
      <c r="J61" s="54" t="inlineStr">
        <is>
          <t>海洋空间与用海管理</t>
        </is>
      </c>
      <c r="K61" s="54" t="n"/>
      <c r="L61" s="53" t="n">
        <v>2</v>
      </c>
      <c r="M61" s="53" t="n"/>
      <c r="N61" s="54" t="n">
        <v>4</v>
      </c>
      <c r="O61" s="54" t="inlineStr">
        <is>
          <t>难</t>
        </is>
      </c>
      <c r="P61" s="54" t="inlineStr">
        <is>
          <t>是</t>
        </is>
      </c>
      <c r="Q61" s="54" t="inlineStr">
        <is>
          <t>发布机关官网</t>
        </is>
      </c>
      <c r="R61" s="54" t="n"/>
    </row>
    <row r="62" ht="26.85" customHeight="1" s="42">
      <c r="A62" s="53" t="n">
        <v>58</v>
      </c>
      <c r="B62" s="54" t="inlineStr">
        <is>
          <t>自然资源部办公厅关于印发《海洋经济统计调查制度》和《海洋生产总值核算制度》的通知</t>
        </is>
      </c>
      <c r="C62" s="54" t="inlineStr">
        <is>
          <t>自然资办发〔2020〕24号</t>
        </is>
      </c>
      <c r="D62" s="54" t="inlineStr">
        <is>
          <t>政策文件</t>
        </is>
      </c>
      <c r="E62" s="54" t="inlineStr">
        <is>
          <t>国家</t>
        </is>
      </c>
      <c r="F62" s="54" t="inlineStr">
        <is>
          <t>自然资源部</t>
        </is>
      </c>
      <c r="G62" s="55" t="n">
        <v>43966</v>
      </c>
      <c r="H62" s="55" t="n">
        <v>43966</v>
      </c>
      <c r="I62" s="54" t="inlineStr">
        <is>
          <t>已废止</t>
        </is>
      </c>
      <c r="J62" s="54" t="inlineStr">
        <is>
          <t>海洋观测与数据统计</t>
        </is>
      </c>
      <c r="K62" s="54" t="n"/>
      <c r="L62" s="53" t="n">
        <v>2</v>
      </c>
      <c r="M62" s="53" t="n"/>
      <c r="N62" s="54" t="n">
        <v>0</v>
      </c>
      <c r="O62" s="54" t="inlineStr">
        <is>
          <t>易</t>
        </is>
      </c>
      <c r="P62" s="54" t="inlineStr">
        <is>
          <t>是</t>
        </is>
      </c>
      <c r="Q62" s="54" t="inlineStr">
        <is>
          <t>发布机关官网</t>
        </is>
      </c>
      <c r="R62" s="54" t="inlineStr">
        <is>
          <t>见最新版本</t>
        </is>
      </c>
    </row>
    <row r="63" ht="26.85" customHeight="1" s="42">
      <c r="A63" s="53" t="n">
        <v>59</v>
      </c>
      <c r="B63" s="54" t="inlineStr">
        <is>
          <t>关于取消海洋石油（天然气）开采项目免税进口额度管理的通知</t>
        </is>
      </c>
      <c r="C63" s="54" t="inlineStr">
        <is>
          <t>财关税〔2020〕5号</t>
        </is>
      </c>
      <c r="D63" s="54" t="inlineStr">
        <is>
          <t>政策文件</t>
        </is>
      </c>
      <c r="E63" s="54" t="inlineStr">
        <is>
          <t>国家</t>
        </is>
      </c>
      <c r="F63" s="54" t="inlineStr">
        <is>
          <t>财政部</t>
        </is>
      </c>
      <c r="G63" s="55" t="n">
        <v>43910</v>
      </c>
      <c r="H63" s="55" t="n">
        <v>43910</v>
      </c>
      <c r="I63" s="54" t="inlineStr">
        <is>
          <t>已废止</t>
        </is>
      </c>
      <c r="J63" s="54" t="inlineStr">
        <is>
          <t>价格、财税与市场机制</t>
        </is>
      </c>
      <c r="K63" s="54" t="inlineStr">
        <is>
          <t>海洋油气与矿产资源</t>
        </is>
      </c>
      <c r="L63" s="53" t="n">
        <v>2</v>
      </c>
      <c r="M63" s="53" t="n"/>
      <c r="N63" s="54" t="n">
        <v>1</v>
      </c>
      <c r="O63" s="54" t="inlineStr">
        <is>
          <t>难</t>
        </is>
      </c>
      <c r="P63" s="54" t="inlineStr">
        <is>
          <t>是</t>
        </is>
      </c>
      <c r="Q63" s="54" t="inlineStr">
        <is>
          <t>发布机关官网</t>
        </is>
      </c>
      <c r="R63" s="54" t="n"/>
    </row>
    <row r="64" ht="26.85" customHeight="1" s="42">
      <c r="A64" s="53" t="n">
        <v>60</v>
      </c>
      <c r="B64" s="54" t="inlineStr">
        <is>
          <t>国务院关于印发全国国土规划纲要（2016—2030年）的通知</t>
        </is>
      </c>
      <c r="C64" s="54" t="inlineStr">
        <is>
          <t>国发〔2017〕3号</t>
        </is>
      </c>
      <c r="D64" s="54" t="inlineStr">
        <is>
          <t>政策文件</t>
        </is>
      </c>
      <c r="E64" s="54" t="inlineStr">
        <is>
          <t>国家</t>
        </is>
      </c>
      <c r="F64" s="54" t="inlineStr">
        <is>
          <t>国务院</t>
        </is>
      </c>
      <c r="G64" s="55" t="n">
        <v>42738</v>
      </c>
      <c r="H64" s="55" t="n">
        <v>42738</v>
      </c>
      <c r="I64" s="54" t="inlineStr">
        <is>
          <t>现行有效</t>
        </is>
      </c>
      <c r="J64" s="54" t="inlineStr">
        <is>
          <t>规划与区划</t>
        </is>
      </c>
      <c r="K64" s="54" t="inlineStr">
        <is>
          <t>海洋空间与用海管理</t>
        </is>
      </c>
      <c r="L64" s="53" t="n">
        <v>2</v>
      </c>
      <c r="M64" s="53" t="n"/>
      <c r="N64" s="54" t="n">
        <v>20</v>
      </c>
      <c r="O64" s="54" t="inlineStr">
        <is>
          <t>中</t>
        </is>
      </c>
      <c r="P64" s="54" t="inlineStr">
        <is>
          <t>是</t>
        </is>
      </c>
      <c r="Q64" s="54" t="inlineStr">
        <is>
          <t>发布机关官网</t>
        </is>
      </c>
      <c r="R64" s="54" t="n"/>
    </row>
    <row r="65" ht="26.85" customHeight="1" s="42">
      <c r="A65" s="53" t="n">
        <v>61</v>
      </c>
      <c r="B65" s="54" t="inlineStr">
        <is>
          <t>国务院关于印发全国海洋经济发展“十二五”规划的通知</t>
        </is>
      </c>
      <c r="C65" s="54" t="inlineStr">
        <is>
          <t>国发〔2012〕50号</t>
        </is>
      </c>
      <c r="D65" s="54" t="inlineStr">
        <is>
          <t>政策文件</t>
        </is>
      </c>
      <c r="E65" s="54" t="inlineStr">
        <is>
          <t>国家</t>
        </is>
      </c>
      <c r="F65" s="54" t="inlineStr">
        <is>
          <t>国务院</t>
        </is>
      </c>
      <c r="G65" s="55" t="n">
        <v>41291</v>
      </c>
      <c r="H65" s="55" t="n">
        <v>41291</v>
      </c>
      <c r="I65" s="54" t="inlineStr">
        <is>
          <t>已废止</t>
        </is>
      </c>
      <c r="J65" s="54" t="inlineStr">
        <is>
          <t>规划与区划</t>
        </is>
      </c>
      <c r="K65" s="54" t="n"/>
      <c r="L65" s="53" t="n">
        <v>2</v>
      </c>
      <c r="M65" s="54" t="inlineStr">
        <is>
          <t>国务院关于印发全国海洋经济发展规划纲要的通知</t>
        </is>
      </c>
      <c r="N65" s="54" t="n">
        <v>20</v>
      </c>
      <c r="O65" s="54" t="inlineStr">
        <is>
          <t>中</t>
        </is>
      </c>
      <c r="P65" s="54" t="inlineStr">
        <is>
          <t>是</t>
        </is>
      </c>
      <c r="Q65" s="54" t="inlineStr">
        <is>
          <t>发布机关官网</t>
        </is>
      </c>
      <c r="R65" s="54" t="inlineStr">
        <is>
          <t>“规划期为2011—2015年，展望到2020年”</t>
        </is>
      </c>
    </row>
    <row r="66" ht="26.85" customHeight="1" s="42">
      <c r="A66" s="53" t="n">
        <v>62</v>
      </c>
      <c r="B66" s="54" t="inlineStr">
        <is>
          <t>国务院关于进一步加强海洋管理工作若干问题的通知</t>
        </is>
      </c>
      <c r="C66" s="54" t="inlineStr">
        <is>
          <t>国发〔2004〕24号</t>
        </is>
      </c>
      <c r="D66" s="54" t="inlineStr">
        <is>
          <t>政策文件</t>
        </is>
      </c>
      <c r="E66" s="54" t="inlineStr">
        <is>
          <t>国家</t>
        </is>
      </c>
      <c r="F66" s="54" t="inlineStr">
        <is>
          <t>国务院</t>
        </is>
      </c>
      <c r="G66" s="55" t="n">
        <v>43543</v>
      </c>
      <c r="H66" s="55" t="n">
        <v>38249</v>
      </c>
      <c r="I66" s="54" t="inlineStr">
        <is>
          <t>现行有效</t>
        </is>
      </c>
      <c r="J66" s="54" t="inlineStr">
        <is>
          <t>海洋空间与用海管理</t>
        </is>
      </c>
      <c r="K66" s="54" t="inlineStr">
        <is>
          <t>生态环境与海岛保护</t>
        </is>
      </c>
      <c r="L66" s="53" t="n">
        <v>2</v>
      </c>
      <c r="M66" s="53" t="n"/>
      <c r="N66" s="54" t="n">
        <v>10</v>
      </c>
      <c r="O66" s="54" t="inlineStr">
        <is>
          <t>中</t>
        </is>
      </c>
      <c r="P66" s="54" t="inlineStr">
        <is>
          <t>是</t>
        </is>
      </c>
      <c r="Q66" s="54" t="inlineStr">
        <is>
          <t>发布机关官网</t>
        </is>
      </c>
      <c r="R66" s="54" t="inlineStr">
        <is>
          <t>与新近政策文件的衔接</t>
        </is>
      </c>
    </row>
    <row r="67" ht="39.55" customHeight="1" s="42">
      <c r="A67" s="53" t="n">
        <v>63</v>
      </c>
      <c r="B67" s="54" t="inlineStr">
        <is>
          <t>国务院关于印发全国海洋经济发展规划纲要的通知</t>
        </is>
      </c>
      <c r="C67" s="54" t="inlineStr">
        <is>
          <t>国发〔2003〕13号</t>
        </is>
      </c>
      <c r="D67" s="54" t="inlineStr">
        <is>
          <t>政策文件</t>
        </is>
      </c>
      <c r="E67" s="54" t="inlineStr">
        <is>
          <t>国家</t>
        </is>
      </c>
      <c r="F67" s="54" t="inlineStr">
        <is>
          <t>国务院</t>
        </is>
      </c>
      <c r="G67" s="55" t="n">
        <v>39535</v>
      </c>
      <c r="H67" s="55" t="n">
        <v>37750</v>
      </c>
      <c r="I67" s="54" t="inlineStr">
        <is>
          <t>已废止</t>
        </is>
      </c>
      <c r="J67" s="54" t="inlineStr">
        <is>
          <t>规划与区划</t>
        </is>
      </c>
      <c r="K67" s="54" t="n"/>
      <c r="L67" s="53" t="n">
        <v>2</v>
      </c>
      <c r="M67" s="53" t="n"/>
      <c r="N67" s="54" t="n">
        <v>6</v>
      </c>
      <c r="O67" s="54" t="inlineStr">
        <is>
          <t>难</t>
        </is>
      </c>
      <c r="P67" s="54" t="inlineStr">
        <is>
          <t>是</t>
        </is>
      </c>
      <c r="Q67" s="54" t="inlineStr">
        <is>
          <t>发布机关官网</t>
        </is>
      </c>
      <c r="R67" s="54" t="inlineStr">
        <is>
          <t>根据《国务院关于宣布失效一批国务院文件的决定》（国发〔2015〕68号），此文件已宣布失效。</t>
        </is>
      </c>
    </row>
    <row r="68" ht="26.85" customHeight="1" s="42">
      <c r="A68" s="53" t="n">
        <v>64</v>
      </c>
      <c r="B68" s="54" t="inlineStr">
        <is>
          <t>国务院关于国土资源部《省级海洋功能区划审批办法》的批复</t>
        </is>
      </c>
      <c r="C68" s="54" t="inlineStr">
        <is>
          <t>国函〔2003〕38号</t>
        </is>
      </c>
      <c r="D68" s="54" t="inlineStr">
        <is>
          <t>政策文件</t>
        </is>
      </c>
      <c r="E68" s="54" t="inlineStr">
        <is>
          <t>国家</t>
        </is>
      </c>
      <c r="F68" s="54" t="inlineStr">
        <is>
          <t>国务院</t>
        </is>
      </c>
      <c r="G68" s="55" t="n">
        <v>39535</v>
      </c>
      <c r="H68" s="55" t="n">
        <v>37687</v>
      </c>
      <c r="I68" s="54" t="inlineStr">
        <is>
          <t>现行有效</t>
        </is>
      </c>
      <c r="J68" s="54" t="inlineStr">
        <is>
          <t>规划与区划</t>
        </is>
      </c>
      <c r="K68" s="54" t="inlineStr">
        <is>
          <t>海洋空间与用海管理</t>
        </is>
      </c>
      <c r="L68" s="53" t="n">
        <v>2</v>
      </c>
      <c r="M68" s="53" t="n"/>
      <c r="N68" s="54" t="n">
        <v>4</v>
      </c>
      <c r="O68" s="54" t="inlineStr">
        <is>
          <t>中</t>
        </is>
      </c>
      <c r="P68" s="54" t="inlineStr">
        <is>
          <t>是</t>
        </is>
      </c>
      <c r="Q68" s="54" t="inlineStr">
        <is>
          <t>发布机关官网</t>
        </is>
      </c>
      <c r="R68" s="54" t="n"/>
    </row>
    <row r="69" ht="26.85" customHeight="1" s="42">
      <c r="A69" s="53" t="n">
        <v>65</v>
      </c>
      <c r="B69" s="54" t="inlineStr">
        <is>
          <t>海洋局关于印发《海上船舶和平台志愿观测管理规定》的通知 海上船舶和平台志愿观测管理规定</t>
        </is>
      </c>
      <c r="C69" s="54" t="inlineStr">
        <is>
          <t>国海预字〔2014〕38号</t>
        </is>
      </c>
      <c r="D69" s="54" t="inlineStr">
        <is>
          <t>规范性文件</t>
        </is>
      </c>
      <c r="E69" s="54" t="inlineStr">
        <is>
          <t>国家</t>
        </is>
      </c>
      <c r="F69" s="54" t="inlineStr">
        <is>
          <t>国家海洋局(已并入自然资源部)</t>
        </is>
      </c>
      <c r="G69" s="55" t="n">
        <v>41649</v>
      </c>
      <c r="H69" s="55" t="n">
        <v>41649</v>
      </c>
      <c r="I69" s="54" t="inlineStr">
        <is>
          <t>现行有效</t>
        </is>
      </c>
      <c r="J69" s="54" t="inlineStr">
        <is>
          <t>海洋观测与数据统计</t>
        </is>
      </c>
      <c r="K69" s="54" t="n"/>
      <c r="L69" s="53" t="n">
        <v>1</v>
      </c>
      <c r="M69" s="54" t="inlineStr">
        <is>
          <t>海洋观测预报管理条例</t>
        </is>
      </c>
      <c r="N69" s="54" t="n">
        <v>1</v>
      </c>
      <c r="O69" s="54" t="inlineStr">
        <is>
          <t>中</t>
        </is>
      </c>
      <c r="P69" s="54" t="inlineStr">
        <is>
          <t>是</t>
        </is>
      </c>
      <c r="Q69" s="54" t="inlineStr">
        <is>
          <t>发布机关官网</t>
        </is>
      </c>
      <c r="R69" s="54" t="n"/>
    </row>
    <row r="70" ht="15" customHeight="1" s="42">
      <c r="A70" s="53" t="n">
        <v>66</v>
      </c>
      <c r="B70" s="54" t="inlineStr">
        <is>
          <t>国务院关于辽宁省海洋功能区划的批复</t>
        </is>
      </c>
      <c r="C70" s="54" t="inlineStr">
        <is>
          <t>国函〔2004〕17号</t>
        </is>
      </c>
      <c r="D70" s="54" t="inlineStr">
        <is>
          <t>政策文件</t>
        </is>
      </c>
      <c r="E70" s="54" t="inlineStr">
        <is>
          <t>国家</t>
        </is>
      </c>
      <c r="F70" s="54" t="inlineStr">
        <is>
          <t>国务院</t>
        </is>
      </c>
      <c r="G70" s="55" t="n">
        <v>39535</v>
      </c>
      <c r="H70" s="55" t="n">
        <v>45367</v>
      </c>
      <c r="I70" s="54" t="inlineStr">
        <is>
          <t>已废止</t>
        </is>
      </c>
      <c r="J70" s="54" t="inlineStr">
        <is>
          <t>规划与区划</t>
        </is>
      </c>
      <c r="K70" s="54" t="inlineStr">
        <is>
          <t>海洋空间与用海管理</t>
        </is>
      </c>
      <c r="L70" s="53" t="n">
        <v>1</v>
      </c>
      <c r="M70" s="53" t="n"/>
      <c r="N70" s="54" t="n">
        <v>2</v>
      </c>
      <c r="O70" s="54" t="inlineStr">
        <is>
          <t>易</t>
        </is>
      </c>
      <c r="P70" s="54" t="inlineStr">
        <is>
          <t>是</t>
        </is>
      </c>
      <c r="Q70" s="54" t="inlineStr">
        <is>
          <t>发布机关官网</t>
        </is>
      </c>
      <c r="R70" s="54" t="n"/>
    </row>
    <row r="71" ht="26.85" customHeight="1" s="42">
      <c r="A71" s="53" t="n">
        <v>67</v>
      </c>
      <c r="B71" s="54" t="inlineStr">
        <is>
          <t>国务院关于上海市海洋功能区划(2011—2020年)的批复</t>
        </is>
      </c>
      <c r="C71" s="54" t="inlineStr">
        <is>
          <t>国函〔2012〕183号</t>
        </is>
      </c>
      <c r="D71" s="54" t="inlineStr">
        <is>
          <t>政策文件</t>
        </is>
      </c>
      <c r="E71" s="54" t="inlineStr">
        <is>
          <t>国家</t>
        </is>
      </c>
      <c r="F71" s="54" t="inlineStr">
        <is>
          <t>国务院</t>
        </is>
      </c>
      <c r="G71" s="55" t="n">
        <v>41219</v>
      </c>
      <c r="H71" s="55" t="n">
        <v>41219</v>
      </c>
      <c r="I71" s="54" t="inlineStr">
        <is>
          <t>已废止</t>
        </is>
      </c>
      <c r="J71" s="54" t="inlineStr">
        <is>
          <t>规划与区划</t>
        </is>
      </c>
      <c r="K71" s="54" t="inlineStr">
        <is>
          <t>海洋空间与用海管理</t>
        </is>
      </c>
      <c r="L71" s="53" t="n">
        <v>1</v>
      </c>
      <c r="M71" s="53" t="n"/>
      <c r="N71" s="54" t="n">
        <v>2</v>
      </c>
      <c r="O71" s="54" t="inlineStr">
        <is>
          <t>易</t>
        </is>
      </c>
      <c r="P71" s="54" t="inlineStr">
        <is>
          <t>是</t>
        </is>
      </c>
      <c r="Q71" s="54" t="inlineStr">
        <is>
          <t>发布机关官网</t>
        </is>
      </c>
      <c r="R71" s="54" t="n"/>
    </row>
    <row r="72" ht="26.85" customHeight="1" s="42">
      <c r="A72" s="53" t="n">
        <v>68</v>
      </c>
      <c r="B72" s="54" t="inlineStr">
        <is>
          <t>国务院关于广东省海洋功能区划(2011—2020年)的批复</t>
        </is>
      </c>
      <c r="C72" s="54" t="inlineStr">
        <is>
          <t>国函〔2012〕182号</t>
        </is>
      </c>
      <c r="D72" s="54" t="inlineStr">
        <is>
          <t>政策文件</t>
        </is>
      </c>
      <c r="E72" s="54" t="inlineStr">
        <is>
          <t>国家</t>
        </is>
      </c>
      <c r="F72" s="54" t="inlineStr">
        <is>
          <t>国务院</t>
        </is>
      </c>
      <c r="G72" s="55" t="n">
        <v>41219</v>
      </c>
      <c r="H72" s="55" t="n">
        <v>41219</v>
      </c>
      <c r="I72" s="54" t="inlineStr">
        <is>
          <t>已废止</t>
        </is>
      </c>
      <c r="J72" s="54" t="inlineStr">
        <is>
          <t>规划与区划</t>
        </is>
      </c>
      <c r="K72" s="54" t="inlineStr">
        <is>
          <t>海洋空间与用海管理</t>
        </is>
      </c>
      <c r="L72" s="53" t="n">
        <v>1</v>
      </c>
      <c r="M72" s="53" t="n"/>
      <c r="N72" s="54" t="n">
        <v>2</v>
      </c>
      <c r="O72" s="54" t="inlineStr">
        <is>
          <t>易</t>
        </is>
      </c>
      <c r="P72" s="54" t="inlineStr">
        <is>
          <t>是</t>
        </is>
      </c>
      <c r="Q72" s="54" t="inlineStr">
        <is>
          <t>发布机关官网</t>
        </is>
      </c>
      <c r="R72" s="54" t="n"/>
    </row>
    <row r="73" ht="26.85" customHeight="1" s="42">
      <c r="A73" s="53" t="n">
        <v>69</v>
      </c>
      <c r="B73" s="54" t="inlineStr">
        <is>
          <t>国务院关于海南省海洋功能区划(2011—2020年)的批复</t>
        </is>
      </c>
      <c r="C73" s="54" t="inlineStr">
        <is>
          <t>国函〔2012〕181号</t>
        </is>
      </c>
      <c r="D73" s="54" t="inlineStr">
        <is>
          <t>政策文件</t>
        </is>
      </c>
      <c r="E73" s="54" t="inlineStr">
        <is>
          <t>国家</t>
        </is>
      </c>
      <c r="F73" s="54" t="inlineStr">
        <is>
          <t>国务院</t>
        </is>
      </c>
      <c r="G73" s="55" t="n">
        <v>41219</v>
      </c>
      <c r="H73" s="55" t="n">
        <v>41219</v>
      </c>
      <c r="I73" s="54" t="inlineStr">
        <is>
          <t>已废止</t>
        </is>
      </c>
      <c r="J73" s="54" t="inlineStr">
        <is>
          <t>规划与区划</t>
        </is>
      </c>
      <c r="K73" s="54" t="inlineStr">
        <is>
          <t>海洋空间与用海管理</t>
        </is>
      </c>
      <c r="L73" s="53" t="n">
        <v>1</v>
      </c>
      <c r="M73" s="54" t="inlineStr">
        <is>
          <t>国务院关于海南省海洋功能区划的批复</t>
        </is>
      </c>
      <c r="N73" s="54" t="n">
        <v>1</v>
      </c>
      <c r="O73" s="54" t="inlineStr">
        <is>
          <t>易</t>
        </is>
      </c>
      <c r="P73" s="54" t="inlineStr">
        <is>
          <t>是</t>
        </is>
      </c>
      <c r="Q73" s="54" t="inlineStr">
        <is>
          <t>发布机关官网</t>
        </is>
      </c>
      <c r="R73" s="54" t="n"/>
    </row>
    <row r="74" ht="26.85" customHeight="1" s="42">
      <c r="A74" s="53" t="n">
        <v>70</v>
      </c>
      <c r="B74" s="54" t="inlineStr">
        <is>
          <t>国务院关于广西壮族自治区海洋功能区划(2011—2020年)的批复</t>
        </is>
      </c>
      <c r="C74" s="54" t="inlineStr">
        <is>
          <t>国函〔2012〕166号</t>
        </is>
      </c>
      <c r="D74" s="54" t="inlineStr">
        <is>
          <t>政策文件</t>
        </is>
      </c>
      <c r="E74" s="54" t="inlineStr">
        <is>
          <t>国家</t>
        </is>
      </c>
      <c r="F74" s="54" t="inlineStr">
        <is>
          <t>国务院</t>
        </is>
      </c>
      <c r="G74" s="55" t="n">
        <v>41198</v>
      </c>
      <c r="H74" s="55" t="n">
        <v>41198</v>
      </c>
      <c r="I74" s="54" t="inlineStr">
        <is>
          <t>已废止</t>
        </is>
      </c>
      <c r="J74" s="54" t="inlineStr">
        <is>
          <t>规划与区划</t>
        </is>
      </c>
      <c r="K74" s="54" t="inlineStr">
        <is>
          <t>海洋空间与用海管理</t>
        </is>
      </c>
      <c r="L74" s="53" t="n">
        <v>1</v>
      </c>
      <c r="M74" s="54" t="inlineStr">
        <is>
          <t>国务院关于广西壮族自治区海洋功能区划的批复</t>
        </is>
      </c>
      <c r="N74" s="54" t="n">
        <v>1</v>
      </c>
      <c r="O74" s="54" t="inlineStr">
        <is>
          <t>易</t>
        </is>
      </c>
      <c r="P74" s="54" t="inlineStr">
        <is>
          <t>是</t>
        </is>
      </c>
      <c r="Q74" s="54" t="inlineStr">
        <is>
          <t>发布机关官网</t>
        </is>
      </c>
      <c r="R74" s="54" t="n"/>
    </row>
    <row r="75" ht="26.85" customHeight="1" s="42">
      <c r="A75" s="53" t="n">
        <v>71</v>
      </c>
      <c r="B75" s="54" t="inlineStr">
        <is>
          <t>国务院关于福建省海洋功能区划(2011—2020年)的批复</t>
        </is>
      </c>
      <c r="C75" s="54" t="inlineStr">
        <is>
          <t>国函〔2012〕164号</t>
        </is>
      </c>
      <c r="D75" s="54" t="inlineStr">
        <is>
          <t>政策文件</t>
        </is>
      </c>
      <c r="E75" s="54" t="inlineStr">
        <is>
          <t>国家</t>
        </is>
      </c>
      <c r="F75" s="54" t="inlineStr">
        <is>
          <t>国务院</t>
        </is>
      </c>
      <c r="G75" s="55" t="n">
        <v>41198</v>
      </c>
      <c r="H75" s="55" t="n">
        <v>41198</v>
      </c>
      <c r="I75" s="54" t="inlineStr">
        <is>
          <t>已废止</t>
        </is>
      </c>
      <c r="J75" s="54" t="inlineStr">
        <is>
          <t>规划与区划</t>
        </is>
      </c>
      <c r="K75" s="54" t="inlineStr">
        <is>
          <t>海洋空间与用海管理</t>
        </is>
      </c>
      <c r="L75" s="53" t="n">
        <v>1</v>
      </c>
      <c r="M75" s="54" t="inlineStr">
        <is>
          <t>国务院关于福建省海洋功能区划的批复</t>
        </is>
      </c>
      <c r="N75" s="54" t="n">
        <v>1</v>
      </c>
      <c r="O75" s="54" t="inlineStr">
        <is>
          <t>易</t>
        </is>
      </c>
      <c r="P75" s="54" t="inlineStr">
        <is>
          <t>是</t>
        </is>
      </c>
      <c r="Q75" s="54" t="inlineStr">
        <is>
          <t>发布机关官网</t>
        </is>
      </c>
      <c r="R75" s="54" t="n"/>
    </row>
    <row r="76" ht="26.85" customHeight="1" s="42">
      <c r="A76" s="53" t="n">
        <v>72</v>
      </c>
      <c r="B76" s="54" t="inlineStr">
        <is>
          <t>国务院关于浙江省海洋功能区划(2011—2020年)的批复</t>
        </is>
      </c>
      <c r="C76" s="54" t="inlineStr">
        <is>
          <t>国函〔2012〕163号</t>
        </is>
      </c>
      <c r="D76" s="54" t="inlineStr">
        <is>
          <t>政策文件</t>
        </is>
      </c>
      <c r="E76" s="54" t="inlineStr">
        <is>
          <t>国家</t>
        </is>
      </c>
      <c r="F76" s="54" t="inlineStr">
        <is>
          <t>国务院</t>
        </is>
      </c>
      <c r="G76" s="55" t="n">
        <v>41198</v>
      </c>
      <c r="H76" s="55" t="n">
        <v>41198</v>
      </c>
      <c r="I76" s="54" t="inlineStr">
        <is>
          <t>已废止</t>
        </is>
      </c>
      <c r="J76" s="54" t="inlineStr">
        <is>
          <t>规划与区划</t>
        </is>
      </c>
      <c r="K76" s="54" t="inlineStr">
        <is>
          <t>海洋空间与用海管理</t>
        </is>
      </c>
      <c r="L76" s="53" t="n">
        <v>1</v>
      </c>
      <c r="M76" s="54" t="inlineStr">
        <is>
          <t>国务院关于浙江省海洋功能区划的批复</t>
        </is>
      </c>
      <c r="N76" s="54" t="n">
        <v>1</v>
      </c>
      <c r="O76" s="54" t="inlineStr">
        <is>
          <t>易</t>
        </is>
      </c>
      <c r="P76" s="54" t="inlineStr">
        <is>
          <t>是</t>
        </is>
      </c>
      <c r="Q76" s="54" t="inlineStr">
        <is>
          <t>发布机关官网</t>
        </is>
      </c>
      <c r="R76" s="54" t="n"/>
    </row>
    <row r="77" ht="26.85" customHeight="1" s="42">
      <c r="A77" s="53" t="n">
        <v>73</v>
      </c>
      <c r="B77" s="54" t="inlineStr">
        <is>
          <t>国务院关于江苏省海洋功能区划(2011—2020年)的批复</t>
        </is>
      </c>
      <c r="C77" s="54" t="inlineStr">
        <is>
          <t>国函〔2012〕162号</t>
        </is>
      </c>
      <c r="D77" s="54" t="inlineStr">
        <is>
          <t>政策文件</t>
        </is>
      </c>
      <c r="E77" s="54" t="inlineStr">
        <is>
          <t>国家</t>
        </is>
      </c>
      <c r="F77" s="54" t="inlineStr">
        <is>
          <t>国务院</t>
        </is>
      </c>
      <c r="G77" s="55" t="n">
        <v>41198</v>
      </c>
      <c r="H77" s="55" t="n">
        <v>41198</v>
      </c>
      <c r="I77" s="54" t="inlineStr">
        <is>
          <t>已废止</t>
        </is>
      </c>
      <c r="J77" s="54" t="inlineStr">
        <is>
          <t>规划与区划</t>
        </is>
      </c>
      <c r="K77" s="54" t="inlineStr">
        <is>
          <t>海洋空间与用海管理</t>
        </is>
      </c>
      <c r="L77" s="53" t="n">
        <v>1</v>
      </c>
      <c r="M77" s="54" t="inlineStr">
        <is>
          <t>国务院关于江苏省海洋功能区划的批复</t>
        </is>
      </c>
      <c r="N77" s="54" t="n">
        <v>1</v>
      </c>
      <c r="O77" s="54" t="inlineStr">
        <is>
          <t>易</t>
        </is>
      </c>
      <c r="P77" s="54" t="inlineStr">
        <is>
          <t>是</t>
        </is>
      </c>
      <c r="Q77" s="54" t="inlineStr">
        <is>
          <t>发布机关官网</t>
        </is>
      </c>
      <c r="R77" s="54" t="n"/>
    </row>
    <row r="78" ht="26.85" customHeight="1" s="42">
      <c r="A78" s="53" t="n">
        <v>74</v>
      </c>
      <c r="B78" s="54" t="inlineStr">
        <is>
          <t>国务院关于辽宁省海洋功能区划(2011—2020年)的批复</t>
        </is>
      </c>
      <c r="C78" s="54" t="inlineStr">
        <is>
          <t>国函〔2012〕161号</t>
        </is>
      </c>
      <c r="D78" s="54" t="inlineStr">
        <is>
          <t>政策文件</t>
        </is>
      </c>
      <c r="E78" s="54" t="inlineStr">
        <is>
          <t>国家</t>
        </is>
      </c>
      <c r="F78" s="54" t="inlineStr">
        <is>
          <t>国务院</t>
        </is>
      </c>
      <c r="G78" s="55" t="n">
        <v>41198</v>
      </c>
      <c r="H78" s="55" t="n">
        <v>41198</v>
      </c>
      <c r="I78" s="54" t="inlineStr">
        <is>
          <t>已废止</t>
        </is>
      </c>
      <c r="J78" s="54" t="inlineStr">
        <is>
          <t>规划与区划</t>
        </is>
      </c>
      <c r="K78" s="54" t="inlineStr">
        <is>
          <t>海洋空间与用海管理</t>
        </is>
      </c>
      <c r="L78" s="53" t="n">
        <v>1</v>
      </c>
      <c r="M78" s="54" t="inlineStr">
        <is>
          <t>国务院关于辽宁省海洋功能区划的批复</t>
        </is>
      </c>
      <c r="N78" s="54" t="n">
        <v>1</v>
      </c>
      <c r="O78" s="54" t="inlineStr">
        <is>
          <t>易</t>
        </is>
      </c>
      <c r="P78" s="54" t="inlineStr">
        <is>
          <t>是</t>
        </is>
      </c>
      <c r="Q78" s="54" t="inlineStr">
        <is>
          <t>发布机关官网</t>
        </is>
      </c>
      <c r="R78" s="54" t="n"/>
    </row>
    <row r="79" ht="26.85" customHeight="1" s="42">
      <c r="A79" s="53" t="n">
        <v>75</v>
      </c>
      <c r="B79" s="54" t="inlineStr">
        <is>
          <t>国务院关于河北省海洋功能区划(2011—2020年)的批复</t>
        </is>
      </c>
      <c r="C79" s="54" t="inlineStr">
        <is>
          <t>国函〔2012〕160号</t>
        </is>
      </c>
      <c r="D79" s="54" t="inlineStr">
        <is>
          <t>政策文件</t>
        </is>
      </c>
      <c r="E79" s="54" t="inlineStr">
        <is>
          <t>国家</t>
        </is>
      </c>
      <c r="F79" s="54" t="inlineStr">
        <is>
          <t>国务院</t>
        </is>
      </c>
      <c r="G79" s="55" t="n">
        <v>41198</v>
      </c>
      <c r="H79" s="55" t="n">
        <v>41198</v>
      </c>
      <c r="I79" s="54" t="inlineStr">
        <is>
          <t>已废止</t>
        </is>
      </c>
      <c r="J79" s="54" t="inlineStr">
        <is>
          <t>规划与区划</t>
        </is>
      </c>
      <c r="K79" s="54" t="inlineStr">
        <is>
          <t>海洋空间与用海管理</t>
        </is>
      </c>
      <c r="L79" s="53" t="n">
        <v>1</v>
      </c>
      <c r="M79" s="54" t="inlineStr">
        <is>
          <t>国务院关于河北省海洋功能区划的批复</t>
        </is>
      </c>
      <c r="N79" s="54" t="n">
        <v>1</v>
      </c>
      <c r="O79" s="54" t="inlineStr">
        <is>
          <t>易</t>
        </is>
      </c>
      <c r="P79" s="54" t="inlineStr">
        <is>
          <t>是</t>
        </is>
      </c>
      <c r="Q79" s="54" t="inlineStr">
        <is>
          <t>发布机关官网</t>
        </is>
      </c>
      <c r="R79" s="54" t="n"/>
    </row>
    <row r="80" ht="26.85" customHeight="1" s="42">
      <c r="A80" s="53" t="n">
        <v>76</v>
      </c>
      <c r="B80" s="54" t="inlineStr">
        <is>
          <t>国务院关于天津市海洋功能区划(2011—2020年)的批复</t>
        </is>
      </c>
      <c r="C80" s="54" t="inlineStr">
        <is>
          <t>国函〔2012〕159号</t>
        </is>
      </c>
      <c r="D80" s="54" t="inlineStr">
        <is>
          <t>政策文件</t>
        </is>
      </c>
      <c r="E80" s="54" t="inlineStr">
        <is>
          <t>国家</t>
        </is>
      </c>
      <c r="F80" s="54" t="inlineStr">
        <is>
          <t>国务院</t>
        </is>
      </c>
      <c r="G80" s="55" t="n">
        <v>41198</v>
      </c>
      <c r="H80" s="55" t="n">
        <v>41198</v>
      </c>
      <c r="I80" s="54" t="inlineStr">
        <is>
          <t>已废止</t>
        </is>
      </c>
      <c r="J80" s="54" t="inlineStr">
        <is>
          <t>规划与区划</t>
        </is>
      </c>
      <c r="K80" s="54" t="inlineStr">
        <is>
          <t>海洋空间与用海管理</t>
        </is>
      </c>
      <c r="L80" s="53" t="n">
        <v>1</v>
      </c>
      <c r="M80" s="53" t="n"/>
      <c r="N80" s="54" t="n">
        <v>1</v>
      </c>
      <c r="O80" s="54" t="inlineStr">
        <is>
          <t>易</t>
        </is>
      </c>
      <c r="P80" s="54" t="inlineStr">
        <is>
          <t>是</t>
        </is>
      </c>
      <c r="Q80" s="54" t="inlineStr">
        <is>
          <t>发布机关官网</t>
        </is>
      </c>
      <c r="R80" s="54" t="n"/>
    </row>
    <row r="81" ht="26.85" customHeight="1" s="42">
      <c r="A81" s="53" t="n">
        <v>77</v>
      </c>
      <c r="B81" s="54" t="inlineStr">
        <is>
          <t>国务院关于山东省海洋功能区划(2011—2020年)的批复</t>
        </is>
      </c>
      <c r="C81" s="54" t="inlineStr">
        <is>
          <t>国函〔2012〕165号</t>
        </is>
      </c>
      <c r="D81" s="54" t="inlineStr">
        <is>
          <t>政策文件</t>
        </is>
      </c>
      <c r="E81" s="54" t="inlineStr">
        <is>
          <t>国家</t>
        </is>
      </c>
      <c r="F81" s="54" t="inlineStr">
        <is>
          <t>国务院</t>
        </is>
      </c>
      <c r="G81" s="55" t="n">
        <v>41188</v>
      </c>
      <c r="H81" s="55" t="n">
        <v>41188</v>
      </c>
      <c r="I81" s="54" t="inlineStr">
        <is>
          <t>已废止</t>
        </is>
      </c>
      <c r="J81" s="54" t="inlineStr">
        <is>
          <t>规划与区划</t>
        </is>
      </c>
      <c r="K81" s="54" t="inlineStr">
        <is>
          <t>海洋空间与用海管理</t>
        </is>
      </c>
      <c r="L81" s="53" t="n">
        <v>1</v>
      </c>
      <c r="M81" s="54" t="inlineStr">
        <is>
          <t>国务院关于山东省海洋功能区划的批复</t>
        </is>
      </c>
      <c r="N81" s="54" t="n">
        <v>1</v>
      </c>
      <c r="O81" s="54" t="inlineStr">
        <is>
          <t>易</t>
        </is>
      </c>
      <c r="P81" s="54" t="inlineStr">
        <is>
          <t>是</t>
        </is>
      </c>
      <c r="Q81" s="54" t="inlineStr">
        <is>
          <t>发布机关官网</t>
        </is>
      </c>
      <c r="R81" s="54" t="n"/>
    </row>
    <row r="82" ht="15" customHeight="1" s="42">
      <c r="A82" s="53" t="n">
        <v>78</v>
      </c>
      <c r="B82" s="54" t="inlineStr">
        <is>
          <t>国务院关于江苏省海洋功能区划的批复</t>
        </is>
      </c>
      <c r="C82" s="54" t="inlineStr">
        <is>
          <t>国函〔2006〕119号</t>
        </is>
      </c>
      <c r="D82" s="54" t="inlineStr">
        <is>
          <t>政策文件</t>
        </is>
      </c>
      <c r="E82" s="54" t="inlineStr">
        <is>
          <t>国家</t>
        </is>
      </c>
      <c r="F82" s="54" t="inlineStr">
        <is>
          <t>国务院</t>
        </is>
      </c>
      <c r="G82" s="55" t="n">
        <v>39535</v>
      </c>
      <c r="H82" s="55" t="n">
        <v>39027</v>
      </c>
      <c r="I82" s="54" t="inlineStr">
        <is>
          <t>已废止</t>
        </is>
      </c>
      <c r="J82" s="54" t="inlineStr">
        <is>
          <t>规划与区划</t>
        </is>
      </c>
      <c r="K82" s="54" t="inlineStr">
        <is>
          <t>海洋空间与用海管理</t>
        </is>
      </c>
      <c r="L82" s="53" t="n">
        <v>1</v>
      </c>
      <c r="M82" s="53" t="n"/>
      <c r="N82" s="54" t="n">
        <v>2</v>
      </c>
      <c r="O82" s="54" t="inlineStr">
        <is>
          <t>易</t>
        </is>
      </c>
      <c r="P82" s="54" t="inlineStr">
        <is>
          <t>是</t>
        </is>
      </c>
      <c r="Q82" s="54" t="inlineStr">
        <is>
          <t>发布机关官网</t>
        </is>
      </c>
      <c r="R82" s="54" t="n"/>
    </row>
    <row r="83" ht="15" customHeight="1" s="42">
      <c r="A83" s="53" t="n">
        <v>79</v>
      </c>
      <c r="B83" s="54" t="inlineStr">
        <is>
          <t>国务院关于河北省海洋功能区划的批复</t>
        </is>
      </c>
      <c r="C83" s="54" t="inlineStr">
        <is>
          <t>国函〔2006〕118号</t>
        </is>
      </c>
      <c r="D83" s="54" t="inlineStr">
        <is>
          <t>政策文件</t>
        </is>
      </c>
      <c r="E83" s="54" t="inlineStr">
        <is>
          <t>国家</t>
        </is>
      </c>
      <c r="F83" s="54" t="inlineStr">
        <is>
          <t>国务院</t>
        </is>
      </c>
      <c r="G83" s="55" t="n">
        <v>39535</v>
      </c>
      <c r="H83" s="55" t="n">
        <v>39027</v>
      </c>
      <c r="I83" s="54" t="inlineStr">
        <is>
          <t>已废止</t>
        </is>
      </c>
      <c r="J83" s="54" t="inlineStr">
        <is>
          <t>规划与区划</t>
        </is>
      </c>
      <c r="K83" s="54" t="inlineStr">
        <is>
          <t>海洋空间与用海管理</t>
        </is>
      </c>
      <c r="L83" s="53" t="n">
        <v>1</v>
      </c>
      <c r="M83" s="53" t="n"/>
      <c r="N83" s="54" t="n">
        <v>2</v>
      </c>
      <c r="O83" s="54" t="inlineStr">
        <is>
          <t>易</t>
        </is>
      </c>
      <c r="P83" s="54" t="inlineStr">
        <is>
          <t>是</t>
        </is>
      </c>
      <c r="Q83" s="54" t="inlineStr">
        <is>
          <t>发布机关官网</t>
        </is>
      </c>
      <c r="R83" s="54" t="n"/>
    </row>
    <row r="84" ht="15" customHeight="1" s="42">
      <c r="A84" s="53" t="n">
        <v>80</v>
      </c>
      <c r="B84" s="54" t="inlineStr">
        <is>
          <t>国务院关于福建省海洋功能区划的批复</t>
        </is>
      </c>
      <c r="C84" s="54" t="inlineStr">
        <is>
          <t>国函〔2006〕117号</t>
        </is>
      </c>
      <c r="D84" s="54" t="inlineStr">
        <is>
          <t>政策文件</t>
        </is>
      </c>
      <c r="E84" s="54" t="inlineStr">
        <is>
          <t>国家</t>
        </is>
      </c>
      <c r="F84" s="54" t="inlineStr">
        <is>
          <t>国务院</t>
        </is>
      </c>
      <c r="G84" s="55" t="n">
        <v>39535</v>
      </c>
      <c r="H84" s="55" t="n">
        <v>39027</v>
      </c>
      <c r="I84" s="54" t="inlineStr">
        <is>
          <t>已废止</t>
        </is>
      </c>
      <c r="J84" s="54" t="inlineStr">
        <is>
          <t>规划与区划</t>
        </is>
      </c>
      <c r="K84" s="54" t="inlineStr">
        <is>
          <t>海洋空间与用海管理</t>
        </is>
      </c>
      <c r="L84" s="53" t="n">
        <v>1</v>
      </c>
      <c r="M84" s="53" t="n"/>
      <c r="N84" s="54" t="n">
        <v>2</v>
      </c>
      <c r="O84" s="54" t="inlineStr">
        <is>
          <t>易</t>
        </is>
      </c>
      <c r="P84" s="54" t="inlineStr">
        <is>
          <t>是</t>
        </is>
      </c>
      <c r="Q84" s="54" t="inlineStr">
        <is>
          <t>发布机关官网</t>
        </is>
      </c>
      <c r="R84" s="54" t="n"/>
    </row>
    <row r="85" ht="15" customHeight="1" s="42">
      <c r="A85" s="53" t="n">
        <v>81</v>
      </c>
      <c r="B85" s="54" t="inlineStr">
        <is>
          <t>国务院关于浙江省海洋功能区划的批复</t>
        </is>
      </c>
      <c r="C85" s="54" t="inlineStr">
        <is>
          <t>国函〔2006〕115号</t>
        </is>
      </c>
      <c r="D85" s="54" t="inlineStr">
        <is>
          <t>政策文件</t>
        </is>
      </c>
      <c r="E85" s="54" t="inlineStr">
        <is>
          <t>国家</t>
        </is>
      </c>
      <c r="F85" s="54" t="inlineStr">
        <is>
          <t>国务院</t>
        </is>
      </c>
      <c r="G85" s="55" t="n">
        <v>39535</v>
      </c>
      <c r="H85" s="55" t="n">
        <v>39014</v>
      </c>
      <c r="I85" s="54" t="inlineStr">
        <is>
          <t>已废止</t>
        </is>
      </c>
      <c r="J85" s="54" t="inlineStr">
        <is>
          <t>规划与区划</t>
        </is>
      </c>
      <c r="K85" s="54" t="inlineStr">
        <is>
          <t>海洋空间与用海管理</t>
        </is>
      </c>
      <c r="L85" s="53" t="n">
        <v>1</v>
      </c>
      <c r="M85" s="53" t="n"/>
      <c r="N85" s="54" t="n">
        <v>2</v>
      </c>
      <c r="O85" s="54" t="inlineStr">
        <is>
          <t>易</t>
        </is>
      </c>
      <c r="P85" s="54" t="inlineStr">
        <is>
          <t>是</t>
        </is>
      </c>
      <c r="Q85" s="54" t="inlineStr">
        <is>
          <t>发布机关官网</t>
        </is>
      </c>
      <c r="R85" s="54" t="n"/>
    </row>
    <row r="86" ht="15" customHeight="1" s="42">
      <c r="A86" s="53" t="n">
        <v>82</v>
      </c>
      <c r="B86" s="54" t="inlineStr">
        <is>
          <t>国务院关于广西壮族自治区海洋功能区划的批复</t>
        </is>
      </c>
      <c r="C86" s="54" t="inlineStr">
        <is>
          <t>国函〔2004〕73号</t>
        </is>
      </c>
      <c r="D86" s="54" t="inlineStr">
        <is>
          <t>政策文件</t>
        </is>
      </c>
      <c r="E86" s="54" t="inlineStr">
        <is>
          <t>国家</t>
        </is>
      </c>
      <c r="F86" s="54" t="inlineStr">
        <is>
          <t>国务院</t>
        </is>
      </c>
      <c r="G86" s="55" t="n">
        <v>39535</v>
      </c>
      <c r="H86" s="55" t="n">
        <v>38244</v>
      </c>
      <c r="I86" s="54" t="inlineStr">
        <is>
          <t>已废止</t>
        </is>
      </c>
      <c r="J86" s="54" t="inlineStr">
        <is>
          <t>规划与区划</t>
        </is>
      </c>
      <c r="K86" s="54" t="inlineStr">
        <is>
          <t>海洋空间与用海管理</t>
        </is>
      </c>
      <c r="L86" s="53" t="n">
        <v>1</v>
      </c>
      <c r="M86" s="53" t="n"/>
      <c r="N86" s="54" t="n">
        <v>2</v>
      </c>
      <c r="O86" s="54" t="inlineStr">
        <is>
          <t>易</t>
        </is>
      </c>
      <c r="P86" s="54" t="inlineStr">
        <is>
          <t>是</t>
        </is>
      </c>
      <c r="Q86" s="54" t="inlineStr">
        <is>
          <t>发布机关官网</t>
        </is>
      </c>
      <c r="R86" s="54" t="n"/>
    </row>
    <row r="87" ht="15" customHeight="1" s="42">
      <c r="A87" s="53" t="n">
        <v>83</v>
      </c>
      <c r="B87" s="54" t="inlineStr">
        <is>
          <t>国务院关于海南省海洋功能区划的批复</t>
        </is>
      </c>
      <c r="C87" s="54" t="inlineStr">
        <is>
          <t>国函〔2004〕37号</t>
        </is>
      </c>
      <c r="D87" s="54" t="inlineStr">
        <is>
          <t>政策文件</t>
        </is>
      </c>
      <c r="E87" s="54" t="inlineStr">
        <is>
          <t>国家</t>
        </is>
      </c>
      <c r="F87" s="54" t="inlineStr">
        <is>
          <t>国务院</t>
        </is>
      </c>
      <c r="G87" s="55" t="n">
        <v>39535</v>
      </c>
      <c r="H87" s="55" t="n">
        <v>38127</v>
      </c>
      <c r="I87" s="54" t="inlineStr">
        <is>
          <t>已废止</t>
        </is>
      </c>
      <c r="J87" s="54" t="inlineStr">
        <is>
          <t>规划与区划</t>
        </is>
      </c>
      <c r="K87" s="54" t="inlineStr">
        <is>
          <t>海洋空间与用海管理</t>
        </is>
      </c>
      <c r="L87" s="53" t="n">
        <v>1</v>
      </c>
      <c r="M87" s="53" t="n"/>
      <c r="N87" s="54" t="n">
        <v>2</v>
      </c>
      <c r="O87" s="54" t="inlineStr">
        <is>
          <t>易</t>
        </is>
      </c>
      <c r="P87" s="54" t="inlineStr">
        <is>
          <t>是</t>
        </is>
      </c>
      <c r="Q87" s="54" t="inlineStr">
        <is>
          <t>发布机关官网</t>
        </is>
      </c>
      <c r="R87" s="54" t="n"/>
    </row>
    <row r="88" ht="15" customHeight="1" s="42">
      <c r="A88" s="53" t="n">
        <v>84</v>
      </c>
      <c r="B88" s="54" t="inlineStr">
        <is>
          <t>国务院关于山东省海洋功能区划的批复</t>
        </is>
      </c>
      <c r="C88" s="54" t="inlineStr">
        <is>
          <t>国函〔2004〕11号</t>
        </is>
      </c>
      <c r="D88" s="54" t="inlineStr">
        <is>
          <t>政策文件</t>
        </is>
      </c>
      <c r="E88" s="54" t="inlineStr">
        <is>
          <t>国家</t>
        </is>
      </c>
      <c r="F88" s="54" t="inlineStr">
        <is>
          <t>国务院</t>
        </is>
      </c>
      <c r="G88" s="55" t="n">
        <v>39535</v>
      </c>
      <c r="H88" s="55" t="n">
        <v>38039</v>
      </c>
      <c r="I88" s="54" t="inlineStr">
        <is>
          <t>已废止</t>
        </is>
      </c>
      <c r="J88" s="54" t="inlineStr">
        <is>
          <t>规划与区划</t>
        </is>
      </c>
      <c r="K88" s="54" t="inlineStr">
        <is>
          <t>海洋空间与用海管理</t>
        </is>
      </c>
      <c r="L88" s="53" t="n">
        <v>1</v>
      </c>
      <c r="M88" s="53" t="n"/>
      <c r="N88" s="54" t="n">
        <v>2</v>
      </c>
      <c r="O88" s="54" t="inlineStr">
        <is>
          <t>易</t>
        </is>
      </c>
      <c r="P88" s="54" t="inlineStr">
        <is>
          <t>是</t>
        </is>
      </c>
      <c r="Q88" s="54" t="inlineStr">
        <is>
          <t>发布机关官网</t>
        </is>
      </c>
      <c r="R88" s="54" t="n"/>
    </row>
    <row r="89" ht="15" customHeight="1" s="42">
      <c r="A89" s="53" t="n">
        <v>85</v>
      </c>
      <c r="B89" s="54" t="inlineStr">
        <is>
          <t>国务院关于同意申请国际海底矿区登记的批复</t>
        </is>
      </c>
      <c r="C89" s="54" t="inlineStr">
        <is>
          <t>国函〔1990〕28号</t>
        </is>
      </c>
      <c r="D89" s="54" t="inlineStr">
        <is>
          <t>政策文件</t>
        </is>
      </c>
      <c r="E89" s="54" t="inlineStr">
        <is>
          <t>国家</t>
        </is>
      </c>
      <c r="F89" s="54" t="inlineStr">
        <is>
          <t>国务院</t>
        </is>
      </c>
      <c r="G89" s="55" t="n">
        <v>41138</v>
      </c>
      <c r="H89" s="55" t="n">
        <v>32972</v>
      </c>
      <c r="I89" s="54" t="inlineStr">
        <is>
          <t>已废止</t>
        </is>
      </c>
      <c r="J89" s="54" t="inlineStr">
        <is>
          <t>海洋油气与矿产资源</t>
        </is>
      </c>
      <c r="K89" s="54" t="inlineStr">
        <is>
          <t>海洋权益与涉外事务</t>
        </is>
      </c>
      <c r="L89" s="53" t="n">
        <v>1</v>
      </c>
      <c r="M89" s="53" t="n"/>
      <c r="N89" s="54" t="n">
        <v>0</v>
      </c>
      <c r="O89" s="54" t="inlineStr">
        <is>
          <t>易</t>
        </is>
      </c>
      <c r="P89" s="54" t="inlineStr">
        <is>
          <t>是</t>
        </is>
      </c>
      <c r="Q89" s="54" t="inlineStr">
        <is>
          <t>发布机关官网</t>
        </is>
      </c>
      <c r="R89" s="54" t="n"/>
    </row>
    <row r="90" ht="15" customHeight="1" s="42">
      <c r="A90" s="53" t="n">
        <v>86</v>
      </c>
      <c r="B90" s="54" t="n"/>
      <c r="C90" s="54" t="n"/>
      <c r="D90" s="54" t="n"/>
      <c r="E90" s="54" t="n"/>
      <c r="F90" s="54" t="n"/>
      <c r="G90" s="55" t="n"/>
      <c r="H90" s="55" t="n"/>
      <c r="I90" s="54" t="n"/>
      <c r="J90" s="54" t="n"/>
      <c r="K90" s="54" t="n"/>
      <c r="L90" s="53" t="n"/>
      <c r="M90" s="53" t="n"/>
      <c r="N90" s="54" t="n"/>
      <c r="O90" s="54" t="n"/>
      <c r="P90" s="54" t="n"/>
      <c r="Q90" s="54" t="n"/>
      <c r="R90" s="54" t="n"/>
    </row>
    <row r="91" ht="15" customHeight="1" s="42">
      <c r="A91" s="53" t="n">
        <v>87</v>
      </c>
      <c r="B91" s="54" t="n"/>
      <c r="C91" s="54" t="n"/>
      <c r="D91" s="54" t="n"/>
      <c r="E91" s="54" t="n"/>
      <c r="F91" s="54" t="n"/>
      <c r="G91" s="55" t="n"/>
      <c r="H91" s="55" t="n"/>
      <c r="I91" s="54" t="n"/>
      <c r="J91" s="54" t="n"/>
      <c r="K91" s="54" t="n"/>
      <c r="L91" s="53" t="n"/>
      <c r="M91" s="53" t="n"/>
      <c r="N91" s="54" t="n"/>
      <c r="O91" s="54" t="n"/>
      <c r="P91" s="54" t="n"/>
      <c r="Q91" s="54" t="n"/>
      <c r="R91" s="54" t="n"/>
    </row>
    <row r="92" ht="15" customHeight="1" s="42">
      <c r="A92" s="53" t="n">
        <v>88</v>
      </c>
      <c r="B92" s="54" t="n"/>
      <c r="C92" s="54" t="n"/>
      <c r="D92" s="54" t="n"/>
      <c r="E92" s="54" t="n"/>
      <c r="F92" s="54" t="n"/>
      <c r="G92" s="55" t="n"/>
      <c r="H92" s="55" t="n"/>
      <c r="I92" s="54" t="n"/>
      <c r="J92" s="54" t="n"/>
      <c r="K92" s="54" t="n"/>
      <c r="L92" s="53" t="n"/>
      <c r="M92" s="53" t="n"/>
      <c r="N92" s="54" t="n"/>
      <c r="O92" s="54" t="n"/>
      <c r="P92" s="54" t="n"/>
      <c r="Q92" s="54" t="n"/>
      <c r="R92" s="54" t="n"/>
    </row>
    <row r="93" ht="15" customHeight="1" s="42">
      <c r="A93" s="53" t="n">
        <v>89</v>
      </c>
      <c r="B93" s="54" t="n"/>
      <c r="C93" s="54" t="n"/>
      <c r="D93" s="54" t="n"/>
      <c r="E93" s="54" t="n"/>
      <c r="F93" s="54" t="n"/>
      <c r="G93" s="55" t="n"/>
      <c r="H93" s="55" t="n"/>
      <c r="I93" s="54" t="n"/>
      <c r="J93" s="54" t="n"/>
      <c r="K93" s="54" t="n"/>
      <c r="L93" s="53" t="n"/>
      <c r="M93" s="53" t="n"/>
      <c r="N93" s="54" t="n"/>
      <c r="O93" s="54" t="n"/>
      <c r="P93" s="54" t="n"/>
      <c r="Q93" s="54" t="n"/>
      <c r="R93" s="54" t="n"/>
    </row>
    <row r="94" ht="15" customHeight="1" s="42">
      <c r="A94" s="53" t="n">
        <v>90</v>
      </c>
      <c r="B94" s="54" t="n"/>
      <c r="C94" s="54" t="n"/>
      <c r="D94" s="54" t="n"/>
      <c r="E94" s="54" t="n"/>
      <c r="F94" s="54" t="n"/>
      <c r="G94" s="55" t="n"/>
      <c r="H94" s="55" t="n"/>
      <c r="I94" s="54" t="n"/>
      <c r="J94" s="54" t="n"/>
      <c r="K94" s="54" t="n"/>
      <c r="L94" s="53" t="n"/>
      <c r="M94" s="53" t="n"/>
      <c r="N94" s="54" t="n"/>
      <c r="O94" s="54" t="n"/>
      <c r="P94" s="54" t="n"/>
      <c r="Q94" s="54" t="n"/>
      <c r="R94" s="54" t="n"/>
    </row>
    <row r="95" ht="15" customHeight="1" s="42">
      <c r="A95" s="53" t="n">
        <v>91</v>
      </c>
      <c r="B95" s="54" t="n"/>
      <c r="C95" s="54" t="n"/>
      <c r="D95" s="54" t="n"/>
      <c r="E95" s="54" t="n"/>
      <c r="F95" s="54" t="n"/>
      <c r="G95" s="55" t="n"/>
      <c r="H95" s="55" t="n"/>
      <c r="I95" s="54" t="n"/>
      <c r="J95" s="54" t="n"/>
      <c r="K95" s="54" t="n"/>
      <c r="L95" s="53" t="n"/>
      <c r="M95" s="53" t="n"/>
      <c r="N95" s="54" t="n"/>
      <c r="O95" s="54" t="n"/>
      <c r="P95" s="54" t="n"/>
      <c r="Q95" s="54" t="n"/>
      <c r="R95" s="54" t="n"/>
    </row>
    <row r="96" ht="15" customHeight="1" s="42">
      <c r="A96" s="53" t="n">
        <v>92</v>
      </c>
      <c r="B96" s="54" t="n"/>
      <c r="C96" s="54" t="n"/>
      <c r="D96" s="54" t="n"/>
      <c r="E96" s="54" t="n"/>
      <c r="F96" s="54" t="n"/>
      <c r="G96" s="55" t="n"/>
      <c r="H96" s="55" t="n"/>
      <c r="I96" s="54" t="n"/>
      <c r="J96" s="54" t="n"/>
      <c r="K96" s="54" t="n"/>
      <c r="L96" s="53" t="n"/>
      <c r="M96" s="53" t="n"/>
      <c r="N96" s="54" t="n"/>
      <c r="O96" s="54" t="n"/>
      <c r="P96" s="54" t="n"/>
      <c r="Q96" s="54" t="n"/>
      <c r="R96" s="54" t="n"/>
    </row>
    <row r="97" ht="15" customHeight="1" s="42">
      <c r="A97" s="53" t="n">
        <v>93</v>
      </c>
      <c r="B97" s="54" t="n"/>
      <c r="C97" s="54" t="n"/>
      <c r="D97" s="54" t="n"/>
      <c r="E97" s="54" t="n"/>
      <c r="F97" s="54" t="n"/>
      <c r="G97" s="55" t="n"/>
      <c r="H97" s="55" t="n"/>
      <c r="I97" s="54" t="n"/>
      <c r="J97" s="54" t="n"/>
      <c r="K97" s="54" t="n"/>
      <c r="L97" s="53" t="n"/>
      <c r="M97" s="53" t="n"/>
      <c r="N97" s="54" t="n"/>
      <c r="O97" s="54" t="n"/>
      <c r="P97" s="54" t="n"/>
      <c r="Q97" s="54" t="n"/>
      <c r="R97" s="54" t="n"/>
    </row>
    <row r="98" ht="15" customHeight="1" s="42">
      <c r="A98" s="53" t="n">
        <v>94</v>
      </c>
      <c r="B98" s="54" t="n"/>
      <c r="C98" s="54" t="n"/>
      <c r="D98" s="54" t="n"/>
      <c r="E98" s="54" t="n"/>
      <c r="F98" s="54" t="n"/>
      <c r="G98" s="55" t="n"/>
      <c r="H98" s="55" t="n"/>
      <c r="I98" s="54" t="n"/>
      <c r="J98" s="54" t="n"/>
      <c r="K98" s="54" t="n"/>
      <c r="L98" s="53" t="n"/>
      <c r="M98" s="53" t="n"/>
      <c r="N98" s="54" t="n"/>
      <c r="O98" s="54" t="n"/>
      <c r="P98" s="54" t="n"/>
      <c r="Q98" s="54" t="n"/>
      <c r="R98" s="54" t="n"/>
    </row>
    <row r="99" ht="15" customHeight="1" s="42">
      <c r="A99" s="53" t="n">
        <v>95</v>
      </c>
      <c r="B99" s="54" t="n"/>
      <c r="C99" s="54" t="n"/>
      <c r="D99" s="54" t="n"/>
      <c r="E99" s="54" t="n"/>
      <c r="F99" s="54" t="n"/>
      <c r="G99" s="55" t="n"/>
      <c r="H99" s="55" t="n"/>
      <c r="I99" s="54" t="n"/>
      <c r="J99" s="54" t="n"/>
      <c r="K99" s="54" t="n"/>
      <c r="L99" s="53" t="n"/>
      <c r="M99" s="53" t="n"/>
      <c r="N99" s="54" t="n"/>
      <c r="O99" s="54" t="n"/>
      <c r="P99" s="54" t="n"/>
      <c r="Q99" s="54" t="n"/>
      <c r="R99" s="54" t="n"/>
    </row>
    <row r="100" ht="15" customHeight="1" s="42">
      <c r="A100" s="53" t="n">
        <v>96</v>
      </c>
      <c r="B100" s="54" t="n"/>
      <c r="C100" s="54" t="n"/>
      <c r="D100" s="54" t="n"/>
      <c r="E100" s="54" t="n"/>
      <c r="F100" s="54" t="n"/>
      <c r="G100" s="55" t="n"/>
      <c r="H100" s="55" t="n"/>
      <c r="I100" s="54" t="n"/>
      <c r="J100" s="54" t="n"/>
      <c r="K100" s="54" t="n"/>
      <c r="L100" s="53" t="n"/>
      <c r="M100" s="53" t="n"/>
      <c r="N100" s="54" t="n"/>
      <c r="O100" s="54" t="n"/>
      <c r="P100" s="54" t="n"/>
      <c r="Q100" s="54" t="n"/>
      <c r="R100" s="54" t="n"/>
    </row>
    <row r="101" ht="15" customHeight="1" s="42">
      <c r="A101" s="53" t="n">
        <v>97</v>
      </c>
      <c r="B101" s="54" t="n"/>
      <c r="C101" s="54" t="n"/>
      <c r="D101" s="54" t="n"/>
      <c r="E101" s="54" t="n"/>
      <c r="F101" s="54" t="n"/>
      <c r="G101" s="55" t="n"/>
      <c r="H101" s="55" t="n"/>
      <c r="I101" s="54" t="n"/>
      <c r="J101" s="54" t="n"/>
      <c r="K101" s="54" t="n"/>
      <c r="L101" s="53" t="n"/>
      <c r="M101" s="53" t="n"/>
      <c r="N101" s="54" t="n"/>
      <c r="O101" s="54" t="n"/>
      <c r="P101" s="54" t="n"/>
      <c r="Q101" s="54" t="n"/>
      <c r="R101" s="54" t="n"/>
    </row>
    <row r="102" ht="15" customHeight="1" s="42">
      <c r="A102" s="53" t="n">
        <v>98</v>
      </c>
      <c r="B102" s="54" t="n"/>
      <c r="C102" s="54" t="n"/>
      <c r="D102" s="54" t="n"/>
      <c r="E102" s="54" t="n"/>
      <c r="F102" s="54" t="n"/>
      <c r="G102" s="55" t="n"/>
      <c r="H102" s="55" t="n"/>
      <c r="I102" s="54" t="n"/>
      <c r="J102" s="54" t="n"/>
      <c r="K102" s="54" t="n"/>
      <c r="L102" s="53" t="n"/>
      <c r="M102" s="53" t="n"/>
      <c r="N102" s="54" t="n"/>
      <c r="O102" s="54" t="n"/>
      <c r="P102" s="54" t="n"/>
      <c r="Q102" s="54" t="n"/>
      <c r="R102" s="54" t="n"/>
    </row>
    <row r="103" ht="15" customHeight="1" s="42">
      <c r="A103" s="53" t="n">
        <v>99</v>
      </c>
      <c r="B103" s="54" t="n"/>
      <c r="C103" s="54" t="n"/>
      <c r="D103" s="54" t="n"/>
      <c r="E103" s="54" t="n"/>
      <c r="F103" s="54" t="n"/>
      <c r="G103" s="55" t="n"/>
      <c r="H103" s="55" t="n"/>
      <c r="I103" s="54" t="n"/>
      <c r="J103" s="54" t="n"/>
      <c r="K103" s="54" t="n"/>
      <c r="L103" s="53" t="n"/>
      <c r="M103" s="53" t="n"/>
      <c r="N103" s="54" t="n"/>
      <c r="O103" s="54" t="n"/>
      <c r="P103" s="54" t="n"/>
      <c r="Q103" s="54" t="n"/>
      <c r="R103" s="54" t="n"/>
    </row>
    <row r="104" ht="15" customHeight="1" s="42">
      <c r="A104" s="53" t="n">
        <v>100</v>
      </c>
      <c r="B104" s="54" t="n"/>
      <c r="C104" s="54" t="n"/>
      <c r="D104" s="54" t="n"/>
      <c r="E104" s="54" t="n"/>
      <c r="F104" s="54" t="n"/>
      <c r="G104" s="55" t="n"/>
      <c r="H104" s="55" t="n"/>
      <c r="I104" s="54" t="n"/>
      <c r="J104" s="54" t="n"/>
      <c r="K104" s="54" t="n"/>
      <c r="L104" s="53" t="n"/>
      <c r="M104" s="53" t="n"/>
      <c r="N104" s="54" t="n"/>
      <c r="O104" s="54" t="n"/>
      <c r="P104" s="54" t="n"/>
      <c r="Q104" s="54" t="n"/>
      <c r="R104" s="54" t="n"/>
    </row>
    <row r="105" ht="15" customHeight="1" s="42">
      <c r="A105" s="53" t="n">
        <v>101</v>
      </c>
      <c r="B105" s="54" t="n"/>
      <c r="C105" s="54" t="n"/>
      <c r="D105" s="54" t="n"/>
      <c r="E105" s="54" t="n"/>
      <c r="F105" s="54" t="n"/>
      <c r="G105" s="55" t="n"/>
      <c r="H105" s="55" t="n"/>
      <c r="I105" s="54" t="n"/>
      <c r="J105" s="54" t="n"/>
      <c r="K105" s="54" t="n"/>
      <c r="L105" s="53" t="n"/>
      <c r="M105" s="53" t="n"/>
      <c r="N105" s="54" t="n"/>
      <c r="O105" s="54" t="n"/>
      <c r="P105" s="54" t="n"/>
      <c r="Q105" s="54" t="n"/>
      <c r="R105" s="54" t="n"/>
    </row>
    <row r="106" ht="15" customHeight="1" s="42">
      <c r="A106" s="53" t="n">
        <v>102</v>
      </c>
      <c r="B106" s="54" t="n"/>
      <c r="C106" s="54" t="n"/>
      <c r="D106" s="54" t="n"/>
      <c r="E106" s="54" t="n"/>
      <c r="F106" s="54" t="n"/>
      <c r="G106" s="55" t="n"/>
      <c r="H106" s="55" t="n"/>
      <c r="I106" s="54" t="n"/>
      <c r="J106" s="54" t="n"/>
      <c r="K106" s="54" t="n"/>
      <c r="L106" s="53" t="n"/>
      <c r="M106" s="53" t="n"/>
      <c r="N106" s="54" t="n"/>
      <c r="O106" s="54" t="n"/>
      <c r="P106" s="54" t="n"/>
      <c r="Q106" s="54" t="n"/>
      <c r="R106" s="54" t="n"/>
    </row>
    <row r="107" ht="15" customHeight="1" s="42">
      <c r="A107" s="53" t="n">
        <v>103</v>
      </c>
      <c r="B107" s="54" t="n"/>
      <c r="C107" s="54" t="n"/>
      <c r="D107" s="54" t="n"/>
      <c r="E107" s="54" t="n"/>
      <c r="F107" s="54" t="n"/>
      <c r="G107" s="55" t="n"/>
      <c r="H107" s="55" t="n"/>
      <c r="I107" s="54" t="n"/>
      <c r="J107" s="54" t="n"/>
      <c r="K107" s="54" t="n"/>
      <c r="L107" s="53" t="n"/>
      <c r="M107" s="53" t="n"/>
      <c r="N107" s="54" t="n"/>
      <c r="O107" s="54" t="n"/>
      <c r="P107" s="54" t="n"/>
      <c r="Q107" s="54" t="n"/>
      <c r="R107" s="54" t="n"/>
    </row>
    <row r="108" ht="15" customHeight="1" s="42">
      <c r="A108" s="53" t="n">
        <v>104</v>
      </c>
      <c r="B108" s="54" t="n"/>
      <c r="C108" s="54" t="n"/>
      <c r="D108" s="54" t="n"/>
      <c r="E108" s="54" t="n"/>
      <c r="F108" s="54" t="n"/>
      <c r="G108" s="55" t="n"/>
      <c r="H108" s="55" t="n"/>
      <c r="I108" s="54" t="n"/>
      <c r="J108" s="54" t="n"/>
      <c r="K108" s="54" t="n"/>
      <c r="L108" s="53" t="n"/>
      <c r="M108" s="53" t="n"/>
      <c r="N108" s="54" t="n"/>
      <c r="O108" s="54" t="n"/>
      <c r="P108" s="54" t="n"/>
      <c r="Q108" s="54" t="n"/>
      <c r="R108" s="54" t="n"/>
    </row>
    <row r="109" ht="15" customHeight="1" s="42">
      <c r="A109" s="53" t="n">
        <v>105</v>
      </c>
      <c r="B109" s="54" t="n"/>
      <c r="C109" s="54" t="n"/>
      <c r="D109" s="54" t="n"/>
      <c r="E109" s="54" t="n"/>
      <c r="F109" s="54" t="n"/>
      <c r="G109" s="55" t="n"/>
      <c r="H109" s="55" t="n"/>
      <c r="I109" s="54" t="n"/>
      <c r="J109" s="54" t="n"/>
      <c r="K109" s="54" t="n"/>
      <c r="L109" s="53" t="n"/>
      <c r="M109" s="53" t="n"/>
      <c r="N109" s="54" t="n"/>
      <c r="O109" s="54" t="n"/>
      <c r="P109" s="54" t="n"/>
      <c r="Q109" s="54" t="n"/>
      <c r="R109" s="54" t="n"/>
    </row>
    <row r="110" ht="15" customHeight="1" s="42">
      <c r="A110" s="53" t="n">
        <v>106</v>
      </c>
      <c r="B110" s="54" t="n"/>
      <c r="C110" s="54" t="n"/>
      <c r="D110" s="54" t="n"/>
      <c r="E110" s="54" t="n"/>
      <c r="F110" s="54" t="n"/>
      <c r="G110" s="55" t="n"/>
      <c r="H110" s="55" t="n"/>
      <c r="I110" s="54" t="n"/>
      <c r="J110" s="54" t="n"/>
      <c r="K110" s="54" t="n"/>
      <c r="L110" s="53" t="n"/>
      <c r="M110" s="53" t="n"/>
      <c r="N110" s="54" t="n"/>
      <c r="O110" s="54" t="n"/>
      <c r="P110" s="54" t="n"/>
      <c r="Q110" s="54" t="n"/>
      <c r="R110" s="54" t="n"/>
    </row>
    <row r="111" ht="15" customHeight="1" s="42">
      <c r="A111" s="53" t="n">
        <v>107</v>
      </c>
      <c r="B111" s="54" t="n"/>
      <c r="C111" s="54" t="n"/>
      <c r="D111" s="54" t="n"/>
      <c r="E111" s="54" t="n"/>
      <c r="F111" s="54" t="n"/>
      <c r="G111" s="55" t="n"/>
      <c r="H111" s="55" t="n"/>
      <c r="I111" s="54" t="n"/>
      <c r="J111" s="54" t="n"/>
      <c r="K111" s="54" t="n"/>
      <c r="L111" s="53" t="n"/>
      <c r="M111" s="53" t="n"/>
      <c r="N111" s="54" t="n"/>
      <c r="O111" s="54" t="n"/>
      <c r="P111" s="54" t="n"/>
      <c r="Q111" s="54" t="n"/>
      <c r="R111" s="54" t="n"/>
    </row>
    <row r="112" ht="15" customHeight="1" s="42">
      <c r="A112" s="53" t="n">
        <v>108</v>
      </c>
      <c r="B112" s="54" t="n"/>
      <c r="C112" s="54" t="n"/>
      <c r="D112" s="54" t="n"/>
      <c r="E112" s="54" t="n"/>
      <c r="F112" s="54" t="n"/>
      <c r="G112" s="55" t="n"/>
      <c r="H112" s="55" t="n"/>
      <c r="I112" s="54" t="n"/>
      <c r="J112" s="54" t="n"/>
      <c r="K112" s="54" t="n"/>
      <c r="L112" s="53" t="n"/>
      <c r="M112" s="53" t="n"/>
      <c r="N112" s="54" t="n"/>
      <c r="O112" s="54" t="n"/>
      <c r="P112" s="54" t="n"/>
      <c r="Q112" s="54" t="n"/>
      <c r="R112" s="54" t="n"/>
    </row>
    <row r="113" ht="15" customHeight="1" s="42">
      <c r="A113" s="53" t="n">
        <v>109</v>
      </c>
      <c r="B113" s="54" t="n"/>
      <c r="C113" s="54" t="n"/>
      <c r="D113" s="54" t="n"/>
      <c r="E113" s="54" t="n"/>
      <c r="F113" s="54" t="n"/>
      <c r="G113" s="55" t="n"/>
      <c r="H113" s="55" t="n"/>
      <c r="I113" s="54" t="n"/>
      <c r="J113" s="54" t="n"/>
      <c r="K113" s="54" t="n"/>
      <c r="L113" s="53" t="n"/>
      <c r="M113" s="53" t="n"/>
      <c r="N113" s="54" t="n"/>
      <c r="O113" s="54" t="n"/>
      <c r="P113" s="54" t="n"/>
      <c r="Q113" s="54" t="n"/>
      <c r="R113" s="54" t="n"/>
    </row>
    <row r="114" ht="15" customHeight="1" s="42">
      <c r="A114" s="53" t="n">
        <v>110</v>
      </c>
      <c r="B114" s="54" t="n"/>
      <c r="C114" s="54" t="n"/>
      <c r="D114" s="54" t="n"/>
      <c r="E114" s="54" t="n"/>
      <c r="F114" s="54" t="n"/>
      <c r="G114" s="55" t="n"/>
      <c r="H114" s="55" t="n"/>
      <c r="I114" s="54" t="n"/>
      <c r="J114" s="54" t="n"/>
      <c r="K114" s="54" t="n"/>
      <c r="L114" s="53" t="n"/>
      <c r="M114" s="53" t="n"/>
      <c r="N114" s="54" t="n"/>
      <c r="O114" s="54" t="n"/>
      <c r="P114" s="54" t="n"/>
      <c r="Q114" s="54" t="n"/>
      <c r="R114" s="54" t="n"/>
    </row>
    <row r="115" ht="15" customHeight="1" s="42">
      <c r="A115" s="53" t="n">
        <v>111</v>
      </c>
      <c r="B115" s="54" t="n"/>
      <c r="C115" s="54" t="n"/>
      <c r="D115" s="54" t="n"/>
      <c r="E115" s="54" t="n"/>
      <c r="F115" s="54" t="n"/>
      <c r="G115" s="55" t="n"/>
      <c r="H115" s="55" t="n"/>
      <c r="I115" s="54" t="n"/>
      <c r="J115" s="54" t="n"/>
      <c r="K115" s="54" t="n"/>
      <c r="L115" s="53" t="n"/>
      <c r="M115" s="53" t="n"/>
      <c r="N115" s="54" t="n"/>
      <c r="O115" s="54" t="n"/>
      <c r="P115" s="54" t="n"/>
      <c r="Q115" s="54" t="n"/>
      <c r="R115" s="54" t="n"/>
    </row>
    <row r="116" ht="15" customHeight="1" s="42">
      <c r="A116" s="53" t="n">
        <v>112</v>
      </c>
      <c r="B116" s="54" t="n"/>
      <c r="C116" s="54" t="n"/>
      <c r="D116" s="54" t="n"/>
      <c r="E116" s="54" t="n"/>
      <c r="F116" s="54" t="n"/>
      <c r="G116" s="55" t="n"/>
      <c r="H116" s="55" t="n"/>
      <c r="I116" s="54" t="n"/>
      <c r="J116" s="54" t="n"/>
      <c r="K116" s="54" t="n"/>
      <c r="L116" s="53" t="n"/>
      <c r="M116" s="53" t="n"/>
      <c r="N116" s="54" t="n"/>
      <c r="O116" s="54" t="n"/>
      <c r="P116" s="54" t="n"/>
      <c r="Q116" s="54" t="n"/>
      <c r="R116" s="54" t="n"/>
    </row>
    <row r="117" ht="15" customHeight="1" s="42">
      <c r="A117" s="53" t="n">
        <v>113</v>
      </c>
      <c r="B117" s="54" t="n"/>
      <c r="C117" s="54" t="n"/>
      <c r="D117" s="54" t="n"/>
      <c r="E117" s="54" t="n"/>
      <c r="F117" s="54" t="n"/>
      <c r="G117" s="55" t="n"/>
      <c r="H117" s="55" t="n"/>
      <c r="I117" s="54" t="n"/>
      <c r="J117" s="54" t="n"/>
      <c r="K117" s="54" t="n"/>
      <c r="L117" s="53" t="n"/>
      <c r="M117" s="53" t="n"/>
      <c r="N117" s="54" t="n"/>
      <c r="O117" s="54" t="n"/>
      <c r="P117" s="54" t="n"/>
      <c r="Q117" s="54" t="n"/>
      <c r="R117" s="54" t="n"/>
    </row>
    <row r="118" ht="15" customHeight="1" s="42">
      <c r="A118" s="53" t="n">
        <v>114</v>
      </c>
      <c r="B118" s="54" t="n"/>
      <c r="C118" s="54" t="n"/>
      <c r="D118" s="54" t="n"/>
      <c r="E118" s="54" t="n"/>
      <c r="F118" s="54" t="n"/>
      <c r="G118" s="55" t="n"/>
      <c r="H118" s="55" t="n"/>
      <c r="I118" s="54" t="n"/>
      <c r="J118" s="54" t="n"/>
      <c r="K118" s="54" t="n"/>
      <c r="L118" s="53" t="n"/>
      <c r="M118" s="53" t="n"/>
      <c r="N118" s="54" t="n"/>
      <c r="O118" s="54" t="n"/>
      <c r="P118" s="54" t="n"/>
      <c r="Q118" s="54" t="n"/>
      <c r="R118" s="54" t="n"/>
    </row>
    <row r="119" ht="15" customHeight="1" s="42">
      <c r="A119" s="53" t="n">
        <v>115</v>
      </c>
      <c r="B119" s="54" t="n"/>
      <c r="C119" s="54" t="n"/>
      <c r="D119" s="54" t="n"/>
      <c r="E119" s="54" t="n"/>
      <c r="F119" s="54" t="n"/>
      <c r="G119" s="55" t="n"/>
      <c r="H119" s="55" t="n"/>
      <c r="I119" s="54" t="n"/>
      <c r="J119" s="54" t="n"/>
      <c r="K119" s="54" t="n"/>
      <c r="L119" s="53" t="n"/>
      <c r="M119" s="53" t="n"/>
      <c r="N119" s="54" t="n"/>
      <c r="O119" s="54" t="n"/>
      <c r="P119" s="54" t="n"/>
      <c r="Q119" s="54" t="n"/>
      <c r="R119" s="54" t="n"/>
    </row>
    <row r="120" ht="15" customHeight="1" s="42">
      <c r="A120" s="53" t="n">
        <v>116</v>
      </c>
      <c r="B120" s="54" t="n"/>
      <c r="C120" s="54" t="n"/>
      <c r="D120" s="54" t="n"/>
      <c r="E120" s="54" t="n"/>
      <c r="F120" s="54" t="n"/>
      <c r="G120" s="55" t="n"/>
      <c r="H120" s="55" t="n"/>
      <c r="I120" s="54" t="n"/>
      <c r="J120" s="54" t="n"/>
      <c r="K120" s="54" t="n"/>
      <c r="L120" s="53" t="n"/>
      <c r="M120" s="53" t="n"/>
      <c r="N120" s="54" t="n"/>
      <c r="O120" s="54" t="n"/>
      <c r="P120" s="54" t="n"/>
      <c r="Q120" s="54" t="n"/>
      <c r="R120" s="54" t="n"/>
    </row>
    <row r="121" ht="15" customHeight="1" s="42">
      <c r="A121" s="53" t="n">
        <v>117</v>
      </c>
      <c r="B121" s="54" t="n"/>
      <c r="C121" s="54" t="n"/>
      <c r="D121" s="54" t="n"/>
      <c r="E121" s="54" t="n"/>
      <c r="F121" s="54" t="n"/>
      <c r="G121" s="55" t="n"/>
      <c r="H121" s="55" t="n"/>
      <c r="I121" s="54" t="n"/>
      <c r="J121" s="54" t="n"/>
      <c r="K121" s="54" t="n"/>
      <c r="L121" s="53" t="n"/>
      <c r="M121" s="53" t="n"/>
      <c r="N121" s="54" t="n"/>
      <c r="O121" s="54" t="n"/>
      <c r="P121" s="54" t="n"/>
      <c r="Q121" s="54" t="n"/>
      <c r="R121" s="54" t="n"/>
    </row>
    <row r="122" ht="15" customHeight="1" s="42">
      <c r="A122" s="53" t="n">
        <v>118</v>
      </c>
      <c r="B122" s="54" t="n"/>
      <c r="C122" s="54" t="n"/>
      <c r="D122" s="54" t="n"/>
      <c r="E122" s="54" t="n"/>
      <c r="F122" s="54" t="n"/>
      <c r="G122" s="55" t="n"/>
      <c r="H122" s="55" t="n"/>
      <c r="I122" s="54" t="n"/>
      <c r="J122" s="54" t="n"/>
      <c r="K122" s="54" t="n"/>
      <c r="L122" s="53" t="n"/>
      <c r="M122" s="53" t="n"/>
      <c r="N122" s="54" t="n"/>
      <c r="O122" s="54" t="n"/>
      <c r="P122" s="54" t="n"/>
      <c r="Q122" s="54" t="n"/>
      <c r="R122" s="54" t="n"/>
    </row>
    <row r="123" ht="15" customHeight="1" s="42">
      <c r="A123" s="53" t="n">
        <v>119</v>
      </c>
      <c r="B123" s="54" t="n"/>
      <c r="C123" s="54" t="n"/>
      <c r="D123" s="54" t="n"/>
      <c r="E123" s="54" t="n"/>
      <c r="F123" s="54" t="n"/>
      <c r="G123" s="55" t="n"/>
      <c r="H123" s="55" t="n"/>
      <c r="I123" s="54" t="n"/>
      <c r="J123" s="54" t="n"/>
      <c r="K123" s="54" t="n"/>
      <c r="L123" s="53" t="n"/>
      <c r="M123" s="53" t="n"/>
      <c r="N123" s="54" t="n"/>
      <c r="O123" s="54" t="n"/>
      <c r="P123" s="54" t="n"/>
      <c r="Q123" s="54" t="n"/>
      <c r="R123" s="54" t="n"/>
    </row>
    <row r="124" ht="15" customHeight="1" s="42">
      <c r="A124" s="53" t="n">
        <v>120</v>
      </c>
      <c r="B124" s="54" t="n"/>
      <c r="C124" s="54" t="n"/>
      <c r="D124" s="54" t="n"/>
      <c r="E124" s="54" t="n"/>
      <c r="F124" s="54" t="n"/>
      <c r="G124" s="55" t="n"/>
      <c r="H124" s="55" t="n"/>
      <c r="I124" s="54" t="n"/>
      <c r="J124" s="54" t="n"/>
      <c r="K124" s="54" t="n"/>
      <c r="L124" s="53" t="n"/>
      <c r="M124" s="53" t="n"/>
      <c r="N124" s="54" t="n"/>
      <c r="O124" s="54" t="n"/>
      <c r="P124" s="54" t="n"/>
      <c r="Q124" s="54" t="n"/>
      <c r="R124" s="54" t="n"/>
    </row>
    <row r="125" ht="15" customHeight="1" s="42">
      <c r="A125" s="53" t="n">
        <v>121</v>
      </c>
      <c r="B125" s="54" t="n"/>
      <c r="C125" s="54" t="n"/>
      <c r="D125" s="54" t="n"/>
      <c r="E125" s="54" t="n"/>
      <c r="F125" s="54" t="n"/>
      <c r="G125" s="55" t="n"/>
      <c r="H125" s="55" t="n"/>
      <c r="I125" s="54" t="n"/>
      <c r="J125" s="54" t="n"/>
      <c r="K125" s="54" t="n"/>
      <c r="L125" s="53" t="n"/>
      <c r="M125" s="53" t="n"/>
      <c r="N125" s="54" t="n"/>
      <c r="O125" s="54" t="n"/>
      <c r="P125" s="54" t="n"/>
      <c r="Q125" s="54" t="n"/>
      <c r="R125" s="54" t="n"/>
    </row>
    <row r="126" ht="15" customHeight="1" s="42">
      <c r="A126" s="53" t="n">
        <v>122</v>
      </c>
      <c r="B126" s="54" t="n"/>
      <c r="C126" s="54" t="n"/>
      <c r="D126" s="54" t="n"/>
      <c r="E126" s="54" t="n"/>
      <c r="F126" s="54" t="n"/>
      <c r="G126" s="55" t="n"/>
      <c r="H126" s="55" t="n"/>
      <c r="I126" s="54" t="n"/>
      <c r="J126" s="54" t="n"/>
      <c r="K126" s="54" t="n"/>
      <c r="L126" s="53" t="n"/>
      <c r="M126" s="53" t="n"/>
      <c r="N126" s="54" t="n"/>
      <c r="O126" s="54" t="n"/>
      <c r="P126" s="54" t="n"/>
      <c r="Q126" s="54" t="n"/>
      <c r="R126" s="54" t="n"/>
    </row>
    <row r="127" ht="15" customHeight="1" s="42">
      <c r="A127" s="53" t="n">
        <v>123</v>
      </c>
      <c r="B127" s="54" t="n"/>
      <c r="C127" s="54" t="n"/>
      <c r="D127" s="54" t="n"/>
      <c r="E127" s="54" t="n"/>
      <c r="F127" s="54" t="n"/>
      <c r="G127" s="55" t="n"/>
      <c r="H127" s="55" t="n"/>
      <c r="I127" s="54" t="n"/>
      <c r="J127" s="54" t="n"/>
      <c r="K127" s="54" t="n"/>
      <c r="L127" s="53" t="n"/>
      <c r="M127" s="53" t="n"/>
      <c r="N127" s="54" t="n"/>
      <c r="O127" s="54" t="n"/>
      <c r="P127" s="54" t="n"/>
      <c r="Q127" s="54" t="n"/>
      <c r="R127" s="54" t="n"/>
    </row>
    <row r="128" ht="15" customHeight="1" s="42">
      <c r="A128" s="53" t="n">
        <v>124</v>
      </c>
      <c r="B128" s="54" t="n"/>
      <c r="C128" s="54" t="n"/>
      <c r="D128" s="54" t="n"/>
      <c r="E128" s="54" t="n"/>
      <c r="F128" s="54" t="n"/>
      <c r="G128" s="55" t="n"/>
      <c r="H128" s="55" t="n"/>
      <c r="I128" s="54" t="n"/>
      <c r="J128" s="54" t="n"/>
      <c r="K128" s="54" t="n"/>
      <c r="L128" s="53" t="n"/>
      <c r="M128" s="53" t="n"/>
      <c r="N128" s="54" t="n"/>
      <c r="O128" s="54" t="n"/>
      <c r="P128" s="54" t="n"/>
      <c r="Q128" s="54" t="n"/>
      <c r="R128" s="54" t="n"/>
    </row>
    <row r="129" ht="15" customHeight="1" s="42">
      <c r="A129" s="53" t="n">
        <v>125</v>
      </c>
      <c r="B129" s="54" t="n"/>
      <c r="C129" s="54" t="n"/>
      <c r="D129" s="54" t="n"/>
      <c r="E129" s="54" t="n"/>
      <c r="F129" s="54" t="n"/>
      <c r="G129" s="55" t="n"/>
      <c r="H129" s="55" t="n"/>
      <c r="I129" s="54" t="n"/>
      <c r="J129" s="54" t="n"/>
      <c r="K129" s="54" t="n"/>
      <c r="L129" s="53" t="n"/>
      <c r="M129" s="53" t="n"/>
      <c r="N129" s="54" t="n"/>
      <c r="O129" s="54" t="n"/>
      <c r="P129" s="54" t="n"/>
      <c r="Q129" s="54" t="n"/>
      <c r="R129" s="54" t="n"/>
    </row>
    <row r="130" ht="15" customHeight="1" s="42">
      <c r="A130" s="53" t="n">
        <v>126</v>
      </c>
      <c r="B130" s="54" t="n"/>
      <c r="C130" s="54" t="n"/>
      <c r="D130" s="54" t="n"/>
      <c r="E130" s="54" t="n"/>
      <c r="F130" s="54" t="n"/>
      <c r="G130" s="55" t="n"/>
      <c r="H130" s="55" t="n"/>
      <c r="I130" s="54" t="n"/>
      <c r="J130" s="54" t="n"/>
      <c r="K130" s="54" t="n"/>
      <c r="L130" s="53" t="n"/>
      <c r="M130" s="53" t="n"/>
      <c r="N130" s="54" t="n"/>
      <c r="O130" s="54" t="n"/>
      <c r="P130" s="54" t="n"/>
      <c r="Q130" s="54" t="n"/>
      <c r="R130" s="54" t="n"/>
    </row>
    <row r="131" ht="15" customHeight="1" s="42">
      <c r="A131" s="53" t="n">
        <v>127</v>
      </c>
      <c r="B131" s="54" t="n"/>
      <c r="C131" s="54" t="n"/>
      <c r="D131" s="54" t="n"/>
      <c r="E131" s="54" t="n"/>
      <c r="F131" s="54" t="n"/>
      <c r="G131" s="55" t="n"/>
      <c r="H131" s="55" t="n"/>
      <c r="I131" s="54" t="n"/>
      <c r="J131" s="54" t="n"/>
      <c r="K131" s="54" t="n"/>
      <c r="L131" s="53" t="n"/>
      <c r="M131" s="53" t="n"/>
      <c r="N131" s="54" t="n"/>
      <c r="O131" s="54" t="n"/>
      <c r="P131" s="54" t="n"/>
      <c r="Q131" s="54" t="n"/>
      <c r="R131" s="54" t="n"/>
    </row>
    <row r="132" ht="15" customHeight="1" s="42">
      <c r="A132" s="53" t="n">
        <v>128</v>
      </c>
      <c r="B132" s="54" t="n"/>
      <c r="C132" s="54" t="n"/>
      <c r="D132" s="54" t="n"/>
      <c r="E132" s="54" t="n"/>
      <c r="F132" s="54" t="n"/>
      <c r="G132" s="55" t="n"/>
      <c r="H132" s="55" t="n"/>
      <c r="I132" s="54" t="n"/>
      <c r="J132" s="54" t="n"/>
      <c r="K132" s="54" t="n"/>
      <c r="L132" s="53" t="n"/>
      <c r="M132" s="53" t="n"/>
      <c r="N132" s="54" t="n"/>
      <c r="O132" s="54" t="n"/>
      <c r="P132" s="54" t="n"/>
      <c r="Q132" s="54" t="n"/>
      <c r="R132" s="54" t="n"/>
    </row>
    <row r="133" ht="15" customHeight="1" s="42">
      <c r="A133" s="53" t="n">
        <v>129</v>
      </c>
      <c r="B133" s="54" t="n"/>
      <c r="C133" s="54" t="n"/>
      <c r="D133" s="54" t="n"/>
      <c r="E133" s="54" t="n"/>
      <c r="F133" s="54" t="n"/>
      <c r="G133" s="55" t="n"/>
      <c r="H133" s="55" t="n"/>
      <c r="I133" s="54" t="n"/>
      <c r="J133" s="54" t="n"/>
      <c r="K133" s="54" t="n"/>
      <c r="L133" s="53" t="n"/>
      <c r="M133" s="53" t="n"/>
      <c r="N133" s="54" t="n"/>
      <c r="O133" s="54" t="n"/>
      <c r="P133" s="54" t="n"/>
      <c r="Q133" s="54" t="n"/>
      <c r="R133" s="54" t="n"/>
    </row>
    <row r="134" ht="15" customHeight="1" s="42">
      <c r="A134" s="53" t="n">
        <v>130</v>
      </c>
      <c r="B134" s="54" t="n"/>
      <c r="C134" s="54" t="n"/>
      <c r="D134" s="54" t="n"/>
      <c r="E134" s="54" t="n"/>
      <c r="F134" s="54" t="n"/>
      <c r="G134" s="55" t="n"/>
      <c r="H134" s="55" t="n"/>
      <c r="I134" s="54" t="n"/>
      <c r="J134" s="54" t="n"/>
      <c r="K134" s="54" t="n"/>
      <c r="L134" s="53" t="n"/>
      <c r="M134" s="53" t="n"/>
      <c r="N134" s="54" t="n"/>
      <c r="O134" s="54" t="n"/>
      <c r="P134" s="54" t="n"/>
      <c r="Q134" s="54" t="n"/>
      <c r="R134" s="54" t="n"/>
    </row>
    <row r="135" ht="15" customHeight="1" s="42">
      <c r="A135" s="53" t="n">
        <v>131</v>
      </c>
      <c r="B135" s="54" t="n"/>
      <c r="C135" s="54" t="n"/>
      <c r="D135" s="54" t="n"/>
      <c r="E135" s="54" t="n"/>
      <c r="F135" s="54" t="n"/>
      <c r="G135" s="55" t="n"/>
      <c r="H135" s="55" t="n"/>
      <c r="I135" s="54" t="n"/>
      <c r="J135" s="54" t="n"/>
      <c r="K135" s="54" t="n"/>
      <c r="L135" s="53" t="n"/>
      <c r="M135" s="53" t="n"/>
      <c r="N135" s="54" t="n"/>
      <c r="O135" s="54" t="n"/>
      <c r="P135" s="54" t="n"/>
      <c r="Q135" s="54" t="n"/>
      <c r="R135" s="54" t="n"/>
    </row>
    <row r="136" ht="15" customHeight="1" s="42">
      <c r="A136" s="53" t="n">
        <v>132</v>
      </c>
      <c r="B136" s="54" t="n"/>
      <c r="C136" s="54" t="n"/>
      <c r="D136" s="54" t="n"/>
      <c r="E136" s="54" t="n"/>
      <c r="F136" s="54" t="n"/>
      <c r="G136" s="55" t="n"/>
      <c r="H136" s="55" t="n"/>
      <c r="I136" s="54" t="n"/>
      <c r="J136" s="54" t="n"/>
      <c r="K136" s="54" t="n"/>
      <c r="L136" s="53" t="n"/>
      <c r="M136" s="53" t="n"/>
      <c r="N136" s="54" t="n"/>
      <c r="O136" s="54" t="n"/>
      <c r="P136" s="54" t="n"/>
      <c r="Q136" s="54" t="n"/>
      <c r="R136" s="54" t="n"/>
    </row>
    <row r="137" ht="15" customHeight="1" s="42">
      <c r="A137" s="53" t="n">
        <v>133</v>
      </c>
      <c r="B137" s="54" t="n"/>
      <c r="C137" s="54" t="n"/>
      <c r="D137" s="54" t="n"/>
      <c r="E137" s="54" t="n"/>
      <c r="F137" s="54" t="n"/>
      <c r="G137" s="55" t="n"/>
      <c r="H137" s="55" t="n"/>
      <c r="I137" s="54" t="n"/>
      <c r="J137" s="54" t="n"/>
      <c r="K137" s="54" t="n"/>
      <c r="L137" s="53" t="n"/>
      <c r="M137" s="53" t="n"/>
      <c r="N137" s="54" t="n"/>
      <c r="O137" s="54" t="n"/>
      <c r="P137" s="54" t="n"/>
      <c r="Q137" s="54" t="n"/>
      <c r="R137" s="54" t="n"/>
    </row>
    <row r="138" ht="15" customHeight="1" s="42">
      <c r="A138" s="53" t="n">
        <v>134</v>
      </c>
      <c r="B138" s="54" t="n"/>
      <c r="C138" s="54" t="n"/>
      <c r="D138" s="54" t="n"/>
      <c r="E138" s="54" t="n"/>
      <c r="F138" s="54" t="n"/>
      <c r="G138" s="55" t="n"/>
      <c r="H138" s="55" t="n"/>
      <c r="I138" s="54" t="n"/>
      <c r="J138" s="54" t="n"/>
      <c r="K138" s="54" t="n"/>
      <c r="L138" s="53" t="n"/>
      <c r="M138" s="53" t="n"/>
      <c r="N138" s="54" t="n"/>
      <c r="O138" s="54" t="n"/>
      <c r="P138" s="54" t="n"/>
      <c r="Q138" s="54" t="n"/>
      <c r="R138" s="54" t="n"/>
    </row>
    <row r="139" ht="15" customHeight="1" s="42">
      <c r="A139" s="53" t="n">
        <v>135</v>
      </c>
      <c r="B139" s="54" t="n"/>
      <c r="C139" s="54" t="n"/>
      <c r="D139" s="54" t="n"/>
      <c r="E139" s="54" t="n"/>
      <c r="F139" s="54" t="n"/>
      <c r="G139" s="55" t="n"/>
      <c r="H139" s="55" t="n"/>
      <c r="I139" s="54" t="n"/>
      <c r="J139" s="54" t="n"/>
      <c r="K139" s="54" t="n"/>
      <c r="L139" s="53" t="n"/>
      <c r="M139" s="53" t="n"/>
      <c r="N139" s="54" t="n"/>
      <c r="O139" s="54" t="n"/>
      <c r="P139" s="54" t="n"/>
      <c r="Q139" s="54" t="n"/>
      <c r="R139" s="54" t="n"/>
    </row>
    <row r="140" ht="15" customHeight="1" s="42">
      <c r="A140" s="53" t="n">
        <v>136</v>
      </c>
      <c r="B140" s="54" t="n"/>
      <c r="C140" s="54" t="n"/>
      <c r="D140" s="54" t="n"/>
      <c r="E140" s="54" t="n"/>
      <c r="F140" s="54" t="n"/>
      <c r="G140" s="55" t="n"/>
      <c r="H140" s="55" t="n"/>
      <c r="I140" s="54" t="n"/>
      <c r="J140" s="54" t="n"/>
      <c r="K140" s="54" t="n"/>
      <c r="L140" s="53" t="n"/>
      <c r="M140" s="53" t="n"/>
      <c r="N140" s="54" t="n"/>
      <c r="O140" s="54" t="n"/>
      <c r="P140" s="54" t="n"/>
      <c r="Q140" s="54" t="n"/>
      <c r="R140" s="54" t="n"/>
    </row>
    <row r="141" ht="15" customHeight="1" s="42">
      <c r="A141" s="53" t="n">
        <v>137</v>
      </c>
      <c r="B141" s="54" t="n"/>
      <c r="C141" s="54" t="n"/>
      <c r="D141" s="54" t="n"/>
      <c r="E141" s="54" t="n"/>
      <c r="F141" s="54" t="n"/>
      <c r="G141" s="55" t="n"/>
      <c r="H141" s="55" t="n"/>
      <c r="I141" s="54" t="n"/>
      <c r="J141" s="54" t="n"/>
      <c r="K141" s="54" t="n"/>
      <c r="L141" s="53" t="n"/>
      <c r="M141" s="53" t="n"/>
      <c r="N141" s="54" t="n"/>
      <c r="O141" s="54" t="n"/>
      <c r="P141" s="54" t="n"/>
      <c r="Q141" s="54" t="n"/>
      <c r="R141" s="54" t="n"/>
    </row>
    <row r="142" ht="15" customHeight="1" s="42">
      <c r="A142" s="53" t="n">
        <v>138</v>
      </c>
      <c r="B142" s="54" t="n"/>
      <c r="C142" s="54" t="n"/>
      <c r="D142" s="54" t="n"/>
      <c r="E142" s="54" t="n"/>
      <c r="F142" s="54" t="n"/>
      <c r="G142" s="55" t="n"/>
      <c r="H142" s="55" t="n"/>
      <c r="I142" s="54" t="n"/>
      <c r="J142" s="54" t="n"/>
      <c r="K142" s="54" t="n"/>
      <c r="L142" s="53" t="n"/>
      <c r="M142" s="53" t="n"/>
      <c r="N142" s="54" t="n"/>
      <c r="O142" s="54" t="n"/>
      <c r="P142" s="54" t="n"/>
      <c r="Q142" s="54" t="n"/>
      <c r="R142" s="54" t="n"/>
    </row>
    <row r="143" ht="15" customHeight="1" s="42">
      <c r="A143" s="53" t="n">
        <v>139</v>
      </c>
      <c r="B143" s="54" t="n"/>
      <c r="C143" s="54" t="n"/>
      <c r="D143" s="54" t="n"/>
      <c r="E143" s="54" t="n"/>
      <c r="F143" s="54" t="n"/>
      <c r="G143" s="55" t="n"/>
      <c r="H143" s="55" t="n"/>
      <c r="I143" s="54" t="n"/>
      <c r="J143" s="54" t="n"/>
      <c r="K143" s="54" t="n"/>
      <c r="L143" s="53" t="n"/>
      <c r="M143" s="53" t="n"/>
      <c r="N143" s="54" t="n"/>
      <c r="O143" s="54" t="n"/>
      <c r="P143" s="54" t="n"/>
      <c r="Q143" s="54" t="n"/>
      <c r="R143" s="54" t="n"/>
    </row>
    <row r="144" ht="15" customHeight="1" s="42">
      <c r="A144" s="53" t="n">
        <v>140</v>
      </c>
      <c r="B144" s="54" t="n"/>
      <c r="C144" s="54" t="n"/>
      <c r="D144" s="54" t="n"/>
      <c r="E144" s="54" t="n"/>
      <c r="F144" s="54" t="n"/>
      <c r="G144" s="55" t="n"/>
      <c r="H144" s="55" t="n"/>
      <c r="I144" s="54" t="n"/>
      <c r="J144" s="54" t="n"/>
      <c r="K144" s="54" t="n"/>
      <c r="L144" s="53" t="n"/>
      <c r="M144" s="53" t="n"/>
      <c r="N144" s="54" t="n"/>
      <c r="O144" s="54" t="n"/>
      <c r="P144" s="54" t="n"/>
      <c r="Q144" s="54" t="n"/>
      <c r="R144" s="54" t="n"/>
    </row>
    <row r="145" ht="15" customHeight="1" s="42">
      <c r="A145" s="53" t="n">
        <v>141</v>
      </c>
      <c r="B145" s="54" t="n"/>
      <c r="C145" s="54" t="n"/>
      <c r="D145" s="54" t="n"/>
      <c r="E145" s="54" t="n"/>
      <c r="F145" s="54" t="n"/>
      <c r="G145" s="55" t="n"/>
      <c r="H145" s="55" t="n"/>
      <c r="I145" s="54" t="n"/>
      <c r="J145" s="54" t="n"/>
      <c r="K145" s="54" t="n"/>
      <c r="L145" s="53" t="n"/>
      <c r="M145" s="53" t="n"/>
      <c r="N145" s="54" t="n"/>
      <c r="O145" s="54" t="n"/>
      <c r="P145" s="54" t="n"/>
      <c r="Q145" s="54" t="n"/>
      <c r="R145" s="54" t="n"/>
    </row>
    <row r="146" ht="15" customHeight="1" s="42">
      <c r="A146" s="53" t="n">
        <v>142</v>
      </c>
      <c r="B146" s="54" t="n"/>
      <c r="C146" s="54" t="n"/>
      <c r="D146" s="54" t="n"/>
      <c r="E146" s="54" t="n"/>
      <c r="F146" s="54" t="n"/>
      <c r="G146" s="55" t="n"/>
      <c r="H146" s="55" t="n"/>
      <c r="I146" s="54" t="n"/>
      <c r="J146" s="54" t="n"/>
      <c r="K146" s="54" t="n"/>
      <c r="L146" s="53" t="n"/>
      <c r="M146" s="53" t="n"/>
      <c r="N146" s="54" t="n"/>
      <c r="O146" s="54" t="n"/>
      <c r="P146" s="54" t="n"/>
      <c r="Q146" s="54" t="n"/>
      <c r="R146" s="54" t="n"/>
    </row>
    <row r="147" ht="15" customHeight="1" s="42">
      <c r="A147" s="53" t="n">
        <v>143</v>
      </c>
      <c r="B147" s="54" t="n"/>
      <c r="C147" s="54" t="n"/>
      <c r="D147" s="54" t="n"/>
      <c r="E147" s="54" t="n"/>
      <c r="F147" s="54" t="n"/>
      <c r="G147" s="55" t="n"/>
      <c r="H147" s="55" t="n"/>
      <c r="I147" s="54" t="n"/>
      <c r="J147" s="54" t="n"/>
      <c r="K147" s="54" t="n"/>
      <c r="L147" s="53" t="n"/>
      <c r="M147" s="53" t="n"/>
      <c r="N147" s="54" t="n"/>
      <c r="O147" s="54" t="n"/>
      <c r="P147" s="54" t="n"/>
      <c r="Q147" s="54" t="n"/>
      <c r="R147" s="54" t="n"/>
    </row>
    <row r="148" ht="15" customHeight="1" s="42">
      <c r="A148" s="53" t="n">
        <v>144</v>
      </c>
      <c r="B148" s="54" t="n"/>
      <c r="C148" s="54" t="n"/>
      <c r="D148" s="54" t="n"/>
      <c r="E148" s="54" t="n"/>
      <c r="F148" s="54" t="n"/>
      <c r="G148" s="55" t="n"/>
      <c r="H148" s="55" t="n"/>
      <c r="I148" s="54" t="n"/>
      <c r="J148" s="54" t="n"/>
      <c r="K148" s="54" t="n"/>
      <c r="L148" s="53" t="n"/>
      <c r="M148" s="53" t="n"/>
      <c r="N148" s="54" t="n"/>
      <c r="O148" s="54" t="n"/>
      <c r="P148" s="54" t="n"/>
      <c r="Q148" s="54" t="n"/>
      <c r="R148" s="54" t="n"/>
    </row>
    <row r="149" ht="15" customHeight="1" s="42">
      <c r="A149" s="53" t="n">
        <v>145</v>
      </c>
      <c r="B149" s="54" t="n"/>
      <c r="C149" s="54" t="n"/>
      <c r="D149" s="54" t="n"/>
      <c r="E149" s="54" t="n"/>
      <c r="F149" s="54" t="n"/>
      <c r="G149" s="55" t="n"/>
      <c r="H149" s="55" t="n"/>
      <c r="I149" s="54" t="n"/>
      <c r="J149" s="54" t="n"/>
      <c r="K149" s="54" t="n"/>
      <c r="L149" s="53" t="n"/>
      <c r="M149" s="53" t="n"/>
      <c r="N149" s="54" t="n"/>
      <c r="O149" s="54" t="n"/>
      <c r="P149" s="54" t="n"/>
      <c r="Q149" s="54" t="n"/>
      <c r="R149" s="54" t="n"/>
    </row>
    <row r="150" ht="15" customHeight="1" s="42">
      <c r="A150" s="53" t="n">
        <v>146</v>
      </c>
      <c r="B150" s="54" t="n"/>
      <c r="C150" s="54" t="n"/>
      <c r="D150" s="54" t="n"/>
      <c r="E150" s="54" t="n"/>
      <c r="F150" s="54" t="n"/>
      <c r="G150" s="55" t="n"/>
      <c r="H150" s="55" t="n"/>
      <c r="I150" s="54" t="n"/>
      <c r="J150" s="54" t="n"/>
      <c r="K150" s="54" t="n"/>
      <c r="L150" s="53" t="n"/>
      <c r="M150" s="53" t="n"/>
      <c r="N150" s="54" t="n"/>
      <c r="O150" s="54" t="n"/>
      <c r="P150" s="54" t="n"/>
      <c r="Q150" s="54" t="n"/>
      <c r="R150" s="54" t="n"/>
    </row>
    <row r="151" ht="15" customHeight="1" s="42">
      <c r="A151" s="53" t="n">
        <v>147</v>
      </c>
      <c r="B151" s="54" t="n"/>
      <c r="C151" s="54" t="n"/>
      <c r="D151" s="54" t="n"/>
      <c r="E151" s="54" t="n"/>
      <c r="F151" s="54" t="n"/>
      <c r="G151" s="55" t="n"/>
      <c r="H151" s="55" t="n"/>
      <c r="I151" s="54" t="n"/>
      <c r="J151" s="54" t="n"/>
      <c r="K151" s="54" t="n"/>
      <c r="L151" s="53" t="n"/>
      <c r="M151" s="53" t="n"/>
      <c r="N151" s="54" t="n"/>
      <c r="O151" s="54" t="n"/>
      <c r="P151" s="54" t="n"/>
      <c r="Q151" s="54" t="n"/>
      <c r="R151" s="54" t="n"/>
    </row>
    <row r="152" ht="15" customHeight="1" s="42">
      <c r="A152" s="53" t="n">
        <v>148</v>
      </c>
      <c r="B152" s="54" t="n"/>
      <c r="C152" s="54" t="n"/>
      <c r="D152" s="54" t="n"/>
      <c r="E152" s="54" t="n"/>
      <c r="F152" s="54" t="n"/>
      <c r="G152" s="55" t="n"/>
      <c r="H152" s="55" t="n"/>
      <c r="I152" s="54" t="n"/>
      <c r="J152" s="54" t="n"/>
      <c r="K152" s="54" t="n"/>
      <c r="L152" s="53" t="n"/>
      <c r="M152" s="53" t="n"/>
      <c r="N152" s="54" t="n"/>
      <c r="O152" s="54" t="n"/>
      <c r="P152" s="54" t="n"/>
      <c r="Q152" s="54" t="n"/>
      <c r="R152" s="54" t="n"/>
    </row>
    <row r="153" ht="15" customHeight="1" s="42">
      <c r="A153" s="53" t="n">
        <v>149</v>
      </c>
      <c r="B153" s="54" t="n"/>
      <c r="C153" s="54" t="n"/>
      <c r="D153" s="54" t="n"/>
      <c r="E153" s="54" t="n"/>
      <c r="F153" s="54" t="n"/>
      <c r="G153" s="55" t="n"/>
      <c r="H153" s="55" t="n"/>
      <c r="I153" s="54" t="n"/>
      <c r="J153" s="54" t="n"/>
      <c r="K153" s="54" t="n"/>
      <c r="L153" s="53" t="n"/>
      <c r="M153" s="53" t="n"/>
      <c r="N153" s="54" t="n"/>
      <c r="O153" s="54" t="n"/>
      <c r="P153" s="54" t="n"/>
      <c r="Q153" s="54" t="n"/>
      <c r="R153" s="54" t="n"/>
    </row>
    <row r="154" ht="15" customHeight="1" s="42">
      <c r="A154" s="53" t="n">
        <v>150</v>
      </c>
      <c r="B154" s="54" t="n"/>
      <c r="C154" s="54" t="n"/>
      <c r="D154" s="54" t="n"/>
      <c r="E154" s="54" t="n"/>
      <c r="F154" s="54" t="n"/>
      <c r="G154" s="55" t="n"/>
      <c r="H154" s="55" t="n"/>
      <c r="I154" s="54" t="n"/>
      <c r="J154" s="54" t="n"/>
      <c r="K154" s="54" t="n"/>
      <c r="L154" s="53" t="n"/>
      <c r="M154" s="53" t="n"/>
      <c r="N154" s="54" t="n"/>
      <c r="O154" s="54" t="n"/>
      <c r="P154" s="54" t="n"/>
      <c r="Q154" s="54" t="n"/>
      <c r="R154" s="54" t="n"/>
    </row>
    <row r="155" ht="15" customHeight="1" s="42">
      <c r="A155" s="53" t="n">
        <v>151</v>
      </c>
      <c r="B155" s="54" t="n"/>
      <c r="C155" s="54" t="n"/>
      <c r="D155" s="54" t="n"/>
      <c r="E155" s="54" t="n"/>
      <c r="F155" s="54" t="n"/>
      <c r="G155" s="55" t="n"/>
      <c r="H155" s="55" t="n"/>
      <c r="I155" s="54" t="n"/>
      <c r="J155" s="54" t="n"/>
      <c r="K155" s="54" t="n"/>
      <c r="L155" s="53" t="n"/>
      <c r="M155" s="53" t="n"/>
      <c r="N155" s="54" t="n"/>
      <c r="O155" s="54" t="n"/>
      <c r="P155" s="54" t="n"/>
      <c r="Q155" s="54" t="n"/>
      <c r="R155" s="54" t="n"/>
    </row>
    <row r="156" ht="15" customHeight="1" s="42">
      <c r="A156" s="53" t="n">
        <v>152</v>
      </c>
      <c r="B156" s="54" t="n"/>
      <c r="C156" s="54" t="n"/>
      <c r="D156" s="54" t="n"/>
      <c r="E156" s="54" t="n"/>
      <c r="F156" s="54" t="n"/>
      <c r="G156" s="55" t="n"/>
      <c r="H156" s="55" t="n"/>
      <c r="I156" s="54" t="n"/>
      <c r="J156" s="54" t="n"/>
      <c r="K156" s="54" t="n"/>
      <c r="L156" s="53" t="n"/>
      <c r="M156" s="53" t="n"/>
      <c r="N156" s="54" t="n"/>
      <c r="O156" s="54" t="n"/>
      <c r="P156" s="54" t="n"/>
      <c r="Q156" s="54" t="n"/>
      <c r="R156" s="54" t="n"/>
    </row>
    <row r="157" ht="15" customHeight="1" s="42">
      <c r="A157" s="53" t="n">
        <v>153</v>
      </c>
      <c r="B157" s="54" t="n"/>
      <c r="C157" s="54" t="n"/>
      <c r="D157" s="54" t="n"/>
      <c r="E157" s="54" t="n"/>
      <c r="F157" s="54" t="n"/>
      <c r="G157" s="55" t="n"/>
      <c r="H157" s="55" t="n"/>
      <c r="I157" s="54" t="n"/>
      <c r="J157" s="54" t="n"/>
      <c r="K157" s="54" t="n"/>
      <c r="L157" s="53" t="n"/>
      <c r="M157" s="53" t="n"/>
      <c r="N157" s="54" t="n"/>
      <c r="O157" s="54" t="n"/>
      <c r="P157" s="54" t="n"/>
      <c r="Q157" s="54" t="n"/>
      <c r="R157" s="54" t="n"/>
    </row>
    <row r="158" ht="15" customHeight="1" s="42">
      <c r="A158" s="53" t="n">
        <v>154</v>
      </c>
      <c r="B158" s="54" t="n"/>
      <c r="C158" s="54" t="n"/>
      <c r="D158" s="54" t="n"/>
      <c r="E158" s="54" t="n"/>
      <c r="F158" s="54" t="n"/>
      <c r="G158" s="55" t="n"/>
      <c r="H158" s="55" t="n"/>
      <c r="I158" s="54" t="n"/>
      <c r="J158" s="54" t="n"/>
      <c r="K158" s="54" t="n"/>
      <c r="L158" s="53" t="n"/>
      <c r="M158" s="53" t="n"/>
      <c r="N158" s="54" t="n"/>
      <c r="O158" s="54" t="n"/>
      <c r="P158" s="54" t="n"/>
      <c r="Q158" s="54" t="n"/>
      <c r="R158" s="54" t="n"/>
    </row>
    <row r="159" ht="15" customHeight="1" s="42">
      <c r="A159" s="53" t="n">
        <v>155</v>
      </c>
      <c r="B159" s="54" t="n"/>
      <c r="C159" s="54" t="n"/>
      <c r="D159" s="54" t="n"/>
      <c r="E159" s="54" t="n"/>
      <c r="F159" s="54" t="n"/>
      <c r="G159" s="55" t="n"/>
      <c r="H159" s="55" t="n"/>
      <c r="I159" s="54" t="n"/>
      <c r="J159" s="54" t="n"/>
      <c r="K159" s="54" t="n"/>
      <c r="L159" s="53" t="n"/>
      <c r="M159" s="53" t="n"/>
      <c r="N159" s="54" t="n"/>
      <c r="O159" s="54" t="n"/>
      <c r="P159" s="54" t="n"/>
      <c r="Q159" s="54" t="n"/>
      <c r="R159" s="54" t="n"/>
    </row>
    <row r="160" ht="15" customHeight="1" s="42">
      <c r="A160" s="53" t="n">
        <v>156</v>
      </c>
      <c r="B160" s="54" t="n"/>
      <c r="C160" s="54" t="n"/>
      <c r="D160" s="54" t="n"/>
      <c r="E160" s="54" t="n"/>
      <c r="F160" s="54" t="n"/>
      <c r="G160" s="55" t="n"/>
      <c r="H160" s="55" t="n"/>
      <c r="I160" s="54" t="n"/>
      <c r="J160" s="54" t="n"/>
      <c r="K160" s="54" t="n"/>
      <c r="L160" s="53" t="n"/>
      <c r="M160" s="53" t="n"/>
      <c r="N160" s="54" t="n"/>
      <c r="O160" s="54" t="n"/>
      <c r="P160" s="54" t="n"/>
      <c r="Q160" s="54" t="n"/>
      <c r="R160" s="54" t="n"/>
    </row>
    <row r="161" ht="15" customHeight="1" s="42">
      <c r="A161" s="53" t="n">
        <v>157</v>
      </c>
      <c r="B161" s="54" t="n"/>
      <c r="C161" s="54" t="n"/>
      <c r="D161" s="54" t="n"/>
      <c r="E161" s="54" t="n"/>
      <c r="F161" s="54" t="n"/>
      <c r="G161" s="55" t="n"/>
      <c r="H161" s="55" t="n"/>
      <c r="I161" s="54" t="n"/>
      <c r="J161" s="54" t="n"/>
      <c r="K161" s="54" t="n"/>
      <c r="L161" s="53" t="n"/>
      <c r="M161" s="53" t="n"/>
      <c r="N161" s="54" t="n"/>
      <c r="O161" s="54" t="n"/>
      <c r="P161" s="54" t="n"/>
      <c r="Q161" s="54" t="n"/>
      <c r="R161" s="54" t="n"/>
    </row>
    <row r="162" ht="15" customHeight="1" s="42">
      <c r="A162" s="53" t="n">
        <v>158</v>
      </c>
      <c r="B162" s="54" t="n"/>
      <c r="C162" s="54" t="n"/>
      <c r="D162" s="54" t="n"/>
      <c r="E162" s="54" t="n"/>
      <c r="F162" s="54" t="n"/>
      <c r="G162" s="55" t="n"/>
      <c r="H162" s="55" t="n"/>
      <c r="I162" s="54" t="n"/>
      <c r="J162" s="54" t="n"/>
      <c r="K162" s="54" t="n"/>
      <c r="L162" s="53" t="n"/>
      <c r="M162" s="53" t="n"/>
      <c r="N162" s="54" t="n"/>
      <c r="O162" s="54" t="n"/>
      <c r="P162" s="54" t="n"/>
      <c r="Q162" s="54" t="n"/>
      <c r="R162" s="54" t="n"/>
    </row>
    <row r="163" ht="15" customHeight="1" s="42">
      <c r="A163" s="53" t="n">
        <v>159</v>
      </c>
      <c r="B163" s="54" t="n"/>
      <c r="C163" s="54" t="n"/>
      <c r="D163" s="54" t="n"/>
      <c r="E163" s="54" t="n"/>
      <c r="F163" s="54" t="n"/>
      <c r="G163" s="55" t="n"/>
      <c r="H163" s="55" t="n"/>
      <c r="I163" s="54" t="n"/>
      <c r="J163" s="54" t="n"/>
      <c r="K163" s="54" t="n"/>
      <c r="L163" s="53" t="n"/>
      <c r="M163" s="53" t="n"/>
      <c r="N163" s="54" t="n"/>
      <c r="O163" s="54" t="n"/>
      <c r="P163" s="54" t="n"/>
      <c r="Q163" s="54" t="n"/>
      <c r="R163" s="54" t="n"/>
    </row>
    <row r="164" ht="15" customHeight="1" s="42">
      <c r="A164" s="53" t="n">
        <v>160</v>
      </c>
      <c r="B164" s="54" t="n"/>
      <c r="C164" s="54" t="n"/>
      <c r="D164" s="54" t="n"/>
      <c r="E164" s="54" t="n"/>
      <c r="F164" s="54" t="n"/>
      <c r="G164" s="55" t="n"/>
      <c r="H164" s="55" t="n"/>
      <c r="I164" s="54" t="n"/>
      <c r="J164" s="54" t="n"/>
      <c r="K164" s="54" t="n"/>
      <c r="L164" s="53" t="n"/>
      <c r="M164" s="53" t="n"/>
      <c r="N164" s="54" t="n"/>
      <c r="O164" s="54" t="n"/>
      <c r="P164" s="54" t="n"/>
      <c r="Q164" s="54" t="n"/>
      <c r="R164" s="54" t="n"/>
    </row>
    <row r="165" ht="15" customHeight="1" s="42">
      <c r="A165" s="53" t="n">
        <v>161</v>
      </c>
      <c r="B165" s="54" t="n"/>
      <c r="C165" s="54" t="n"/>
      <c r="D165" s="54" t="n"/>
      <c r="E165" s="54" t="n"/>
      <c r="F165" s="54" t="n"/>
      <c r="G165" s="55" t="n"/>
      <c r="H165" s="55" t="n"/>
      <c r="I165" s="54" t="n"/>
      <c r="J165" s="54" t="n"/>
      <c r="K165" s="54" t="n"/>
      <c r="L165" s="53" t="n"/>
      <c r="M165" s="53" t="n"/>
      <c r="N165" s="54" t="n"/>
      <c r="O165" s="54" t="n"/>
      <c r="P165" s="54" t="n"/>
      <c r="Q165" s="54" t="n"/>
      <c r="R165" s="54" t="n"/>
    </row>
    <row r="166" ht="15" customHeight="1" s="42">
      <c r="A166" s="53" t="n">
        <v>162</v>
      </c>
      <c r="B166" s="54" t="n"/>
      <c r="C166" s="54" t="n"/>
      <c r="D166" s="54" t="n"/>
      <c r="E166" s="54" t="n"/>
      <c r="F166" s="54" t="n"/>
      <c r="G166" s="55" t="n"/>
      <c r="H166" s="55" t="n"/>
      <c r="I166" s="54" t="n"/>
      <c r="J166" s="54" t="n"/>
      <c r="K166" s="54" t="n"/>
      <c r="L166" s="53" t="n"/>
      <c r="M166" s="53" t="n"/>
      <c r="N166" s="54" t="n"/>
      <c r="O166" s="54" t="n"/>
      <c r="P166" s="54" t="n"/>
      <c r="Q166" s="54" t="n"/>
      <c r="R166" s="54" t="n"/>
    </row>
    <row r="167" ht="15" customHeight="1" s="42">
      <c r="A167" s="53" t="n">
        <v>163</v>
      </c>
      <c r="B167" s="54" t="n"/>
      <c r="C167" s="54" t="n"/>
      <c r="D167" s="54" t="n"/>
      <c r="E167" s="54" t="n"/>
      <c r="F167" s="54" t="n"/>
      <c r="G167" s="55" t="n"/>
      <c r="H167" s="55" t="n"/>
      <c r="I167" s="54" t="n"/>
      <c r="J167" s="54" t="n"/>
      <c r="K167" s="54" t="n"/>
      <c r="L167" s="53" t="n"/>
      <c r="M167" s="53" t="n"/>
      <c r="N167" s="54" t="n"/>
      <c r="O167" s="54" t="n"/>
      <c r="P167" s="54" t="n"/>
      <c r="Q167" s="54" t="n"/>
      <c r="R167" s="54" t="n"/>
    </row>
    <row r="168" ht="15" customHeight="1" s="42">
      <c r="A168" s="53" t="n">
        <v>164</v>
      </c>
      <c r="B168" s="54" t="n"/>
      <c r="C168" s="54" t="n"/>
      <c r="D168" s="54" t="n"/>
      <c r="E168" s="54" t="n"/>
      <c r="F168" s="54" t="n"/>
      <c r="G168" s="55" t="n"/>
      <c r="H168" s="55" t="n"/>
      <c r="I168" s="54" t="n"/>
      <c r="J168" s="54" t="n"/>
      <c r="K168" s="54" t="n"/>
      <c r="L168" s="53" t="n"/>
      <c r="M168" s="53" t="n"/>
      <c r="N168" s="54" t="n"/>
      <c r="O168" s="54" t="n"/>
      <c r="P168" s="54" t="n"/>
      <c r="Q168" s="54" t="n"/>
      <c r="R168" s="54" t="n"/>
    </row>
    <row r="169" ht="15" customHeight="1" s="42">
      <c r="A169" s="53" t="n">
        <v>165</v>
      </c>
      <c r="B169" s="54" t="n"/>
      <c r="C169" s="54" t="n"/>
      <c r="D169" s="54" t="n"/>
      <c r="E169" s="54" t="n"/>
      <c r="F169" s="54" t="n"/>
      <c r="G169" s="55" t="n"/>
      <c r="H169" s="55" t="n"/>
      <c r="I169" s="54" t="n"/>
      <c r="J169" s="54" t="n"/>
      <c r="K169" s="54" t="n"/>
      <c r="L169" s="53" t="n"/>
      <c r="M169" s="53" t="n"/>
      <c r="N169" s="54" t="n"/>
      <c r="O169" s="54" t="n"/>
      <c r="P169" s="54" t="n"/>
      <c r="Q169" s="54" t="n"/>
      <c r="R169" s="54" t="n"/>
    </row>
    <row r="170" ht="15" customHeight="1" s="42">
      <c r="A170" s="53" t="n">
        <v>166</v>
      </c>
      <c r="B170" s="54" t="n"/>
      <c r="C170" s="54" t="n"/>
      <c r="D170" s="54" t="n"/>
      <c r="E170" s="54" t="n"/>
      <c r="F170" s="54" t="n"/>
      <c r="G170" s="55" t="n"/>
      <c r="H170" s="55" t="n"/>
      <c r="I170" s="54" t="n"/>
      <c r="J170" s="54" t="n"/>
      <c r="K170" s="54" t="n"/>
      <c r="L170" s="53" t="n"/>
      <c r="M170" s="53" t="n"/>
      <c r="N170" s="54" t="n"/>
      <c r="O170" s="54" t="n"/>
      <c r="P170" s="54" t="n"/>
      <c r="Q170" s="54" t="n"/>
      <c r="R170" s="54" t="n"/>
    </row>
    <row r="171" ht="15" customHeight="1" s="42">
      <c r="A171" s="53" t="n">
        <v>167</v>
      </c>
      <c r="B171" s="54" t="n"/>
      <c r="C171" s="54" t="n"/>
      <c r="D171" s="54" t="n"/>
      <c r="E171" s="54" t="n"/>
      <c r="F171" s="54" t="n"/>
      <c r="G171" s="55" t="n"/>
      <c r="H171" s="55" t="n"/>
      <c r="I171" s="54" t="n"/>
      <c r="J171" s="54" t="n"/>
      <c r="K171" s="54" t="n"/>
      <c r="L171" s="53" t="n"/>
      <c r="M171" s="53" t="n"/>
      <c r="N171" s="54" t="n"/>
      <c r="O171" s="54" t="n"/>
      <c r="P171" s="54" t="n"/>
      <c r="Q171" s="54" t="n"/>
      <c r="R171" s="54" t="n"/>
    </row>
    <row r="172" ht="15" customHeight="1" s="42">
      <c r="A172" s="53" t="n">
        <v>168</v>
      </c>
      <c r="B172" s="54" t="n"/>
      <c r="C172" s="54" t="n"/>
      <c r="D172" s="54" t="n"/>
      <c r="E172" s="54" t="n"/>
      <c r="F172" s="54" t="n"/>
      <c r="G172" s="55" t="n"/>
      <c r="H172" s="55" t="n"/>
      <c r="I172" s="54" t="n"/>
      <c r="J172" s="54" t="n"/>
      <c r="K172" s="54" t="n"/>
      <c r="L172" s="53" t="n"/>
      <c r="M172" s="53" t="n"/>
      <c r="N172" s="54" t="n"/>
      <c r="O172" s="54" t="n"/>
      <c r="P172" s="54" t="n"/>
      <c r="Q172" s="54" t="n"/>
      <c r="R172" s="54" t="n"/>
    </row>
    <row r="173" ht="15" customHeight="1" s="42">
      <c r="A173" s="53" t="n">
        <v>169</v>
      </c>
      <c r="B173" s="54" t="n"/>
      <c r="C173" s="54" t="n"/>
      <c r="D173" s="54" t="n"/>
      <c r="E173" s="54" t="n"/>
      <c r="F173" s="54" t="n"/>
      <c r="G173" s="55" t="n"/>
      <c r="H173" s="55" t="n"/>
      <c r="I173" s="54" t="n"/>
      <c r="J173" s="54" t="n"/>
      <c r="K173" s="54" t="n"/>
      <c r="L173" s="53" t="n"/>
      <c r="M173" s="53" t="n"/>
      <c r="N173" s="54" t="n"/>
      <c r="O173" s="54" t="n"/>
      <c r="P173" s="54" t="n"/>
      <c r="Q173" s="54" t="n"/>
      <c r="R173" s="54" t="n"/>
    </row>
    <row r="174" ht="15" customHeight="1" s="42">
      <c r="A174" s="53" t="n">
        <v>170</v>
      </c>
      <c r="B174" s="54" t="n"/>
      <c r="C174" s="54" t="n"/>
      <c r="D174" s="54" t="n"/>
      <c r="E174" s="54" t="n"/>
      <c r="F174" s="54" t="n"/>
      <c r="G174" s="55" t="n"/>
      <c r="H174" s="55" t="n"/>
      <c r="I174" s="54" t="n"/>
      <c r="J174" s="54" t="n"/>
      <c r="K174" s="54" t="n"/>
      <c r="L174" s="53" t="n"/>
      <c r="M174" s="53" t="n"/>
      <c r="N174" s="54" t="n"/>
      <c r="O174" s="54" t="n"/>
      <c r="P174" s="54" t="n"/>
      <c r="Q174" s="54" t="n"/>
      <c r="R174" s="54" t="n"/>
    </row>
    <row r="175" ht="15" customHeight="1" s="42">
      <c r="A175" s="53" t="n">
        <v>171</v>
      </c>
      <c r="B175" s="54" t="n"/>
      <c r="C175" s="54" t="n"/>
      <c r="D175" s="54" t="n"/>
      <c r="E175" s="54" t="n"/>
      <c r="F175" s="54" t="n"/>
      <c r="G175" s="55" t="n"/>
      <c r="H175" s="55" t="n"/>
      <c r="I175" s="54" t="n"/>
      <c r="J175" s="54" t="n"/>
      <c r="K175" s="54" t="n"/>
      <c r="L175" s="53" t="n"/>
      <c r="M175" s="53" t="n"/>
      <c r="N175" s="54" t="n"/>
      <c r="O175" s="54" t="n"/>
      <c r="P175" s="54" t="n"/>
      <c r="Q175" s="54" t="n"/>
      <c r="R175" s="54" t="n"/>
    </row>
    <row r="176" ht="15" customHeight="1" s="42">
      <c r="A176" s="53" t="n">
        <v>172</v>
      </c>
      <c r="B176" s="54" t="n"/>
      <c r="C176" s="54" t="n"/>
      <c r="D176" s="54" t="n"/>
      <c r="E176" s="54" t="n"/>
      <c r="F176" s="54" t="n"/>
      <c r="G176" s="55" t="n"/>
      <c r="H176" s="55" t="n"/>
      <c r="I176" s="54" t="n"/>
      <c r="J176" s="54" t="n"/>
      <c r="K176" s="54" t="n"/>
      <c r="L176" s="53" t="n"/>
      <c r="M176" s="53" t="n"/>
      <c r="N176" s="54" t="n"/>
      <c r="O176" s="54" t="n"/>
      <c r="P176" s="54" t="n"/>
      <c r="Q176" s="54" t="n"/>
      <c r="R176" s="54" t="n"/>
    </row>
    <row r="177" ht="15" customHeight="1" s="42">
      <c r="A177" s="53" t="n">
        <v>173</v>
      </c>
      <c r="B177" s="54" t="n"/>
      <c r="C177" s="54" t="n"/>
      <c r="D177" s="54" t="n"/>
      <c r="E177" s="54" t="n"/>
      <c r="F177" s="54" t="n"/>
      <c r="G177" s="55" t="n"/>
      <c r="H177" s="55" t="n"/>
      <c r="I177" s="54" t="n"/>
      <c r="J177" s="54" t="n"/>
      <c r="K177" s="54" t="n"/>
      <c r="L177" s="53" t="n"/>
      <c r="M177" s="53" t="n"/>
      <c r="N177" s="54" t="n"/>
      <c r="O177" s="54" t="n"/>
      <c r="P177" s="54" t="n"/>
      <c r="Q177" s="54" t="n"/>
      <c r="R177" s="54" t="n"/>
    </row>
    <row r="178" ht="15" customHeight="1" s="42">
      <c r="A178" s="53" t="n">
        <v>174</v>
      </c>
      <c r="B178" s="54" t="n"/>
      <c r="C178" s="54" t="n"/>
      <c r="D178" s="54" t="n"/>
      <c r="E178" s="54" t="n"/>
      <c r="F178" s="54" t="n"/>
      <c r="G178" s="55" t="n"/>
      <c r="H178" s="55" t="n"/>
      <c r="I178" s="54" t="n"/>
      <c r="J178" s="54" t="n"/>
      <c r="K178" s="54" t="n"/>
      <c r="L178" s="53" t="n"/>
      <c r="M178" s="53" t="n"/>
      <c r="N178" s="54" t="n"/>
      <c r="O178" s="54" t="n"/>
      <c r="P178" s="54" t="n"/>
      <c r="Q178" s="54" t="n"/>
      <c r="R178" s="54" t="n"/>
    </row>
    <row r="179" ht="15" customHeight="1" s="42">
      <c r="A179" s="53" t="n">
        <v>175</v>
      </c>
      <c r="B179" s="54" t="n"/>
      <c r="C179" s="54" t="n"/>
      <c r="D179" s="54" t="n"/>
      <c r="E179" s="54" t="n"/>
      <c r="F179" s="54" t="n"/>
      <c r="G179" s="55" t="n"/>
      <c r="H179" s="55" t="n"/>
      <c r="I179" s="54" t="n"/>
      <c r="J179" s="54" t="n"/>
      <c r="K179" s="54" t="n"/>
      <c r="L179" s="53" t="n"/>
      <c r="M179" s="53" t="n"/>
      <c r="N179" s="54" t="n"/>
      <c r="O179" s="54" t="n"/>
      <c r="P179" s="54" t="n"/>
      <c r="Q179" s="54" t="n"/>
      <c r="R179" s="54" t="n"/>
    </row>
    <row r="180" ht="15" customHeight="1" s="42">
      <c r="A180" s="53" t="n">
        <v>176</v>
      </c>
      <c r="B180" s="54" t="n"/>
      <c r="C180" s="54" t="n"/>
      <c r="D180" s="54" t="n"/>
      <c r="E180" s="54" t="n"/>
      <c r="F180" s="54" t="n"/>
      <c r="G180" s="55" t="n"/>
      <c r="H180" s="55" t="n"/>
      <c r="I180" s="54" t="n"/>
      <c r="J180" s="54" t="n"/>
      <c r="K180" s="54" t="n"/>
      <c r="L180" s="53" t="n"/>
      <c r="M180" s="53" t="n"/>
      <c r="N180" s="54" t="n"/>
      <c r="O180" s="54" t="n"/>
      <c r="P180" s="54" t="n"/>
      <c r="Q180" s="54" t="n"/>
      <c r="R180" s="54" t="n"/>
    </row>
    <row r="181" ht="15" customHeight="1" s="42">
      <c r="A181" s="53" t="n">
        <v>177</v>
      </c>
      <c r="B181" s="54" t="n"/>
      <c r="C181" s="54" t="n"/>
      <c r="D181" s="54" t="n"/>
      <c r="E181" s="54" t="n"/>
      <c r="F181" s="54" t="n"/>
      <c r="G181" s="55" t="n"/>
      <c r="H181" s="55" t="n"/>
      <c r="I181" s="54" t="n"/>
      <c r="J181" s="54" t="n"/>
      <c r="K181" s="54" t="n"/>
      <c r="L181" s="53" t="n"/>
      <c r="M181" s="53" t="n"/>
      <c r="N181" s="54" t="n"/>
      <c r="O181" s="54" t="n"/>
      <c r="P181" s="54" t="n"/>
      <c r="Q181" s="54" t="n"/>
      <c r="R181" s="54" t="n"/>
    </row>
    <row r="182" ht="15" customHeight="1" s="42">
      <c r="A182" s="53" t="n">
        <v>178</v>
      </c>
      <c r="B182" s="54" t="n"/>
      <c r="C182" s="54" t="n"/>
      <c r="D182" s="54" t="n"/>
      <c r="E182" s="54" t="n"/>
      <c r="F182" s="54" t="n"/>
      <c r="G182" s="55" t="n"/>
      <c r="H182" s="55" t="n"/>
      <c r="I182" s="54" t="n"/>
      <c r="J182" s="54" t="n"/>
      <c r="K182" s="54" t="n"/>
      <c r="L182" s="53" t="n"/>
      <c r="M182" s="53" t="n"/>
      <c r="N182" s="54" t="n"/>
      <c r="O182" s="54" t="n"/>
      <c r="P182" s="54" t="n"/>
      <c r="Q182" s="54" t="n"/>
      <c r="R182" s="54" t="n"/>
    </row>
    <row r="183" ht="15" customHeight="1" s="42">
      <c r="A183" s="53" t="n">
        <v>179</v>
      </c>
      <c r="B183" s="54" t="n"/>
      <c r="C183" s="54" t="n"/>
      <c r="D183" s="54" t="n"/>
      <c r="E183" s="54" t="n"/>
      <c r="F183" s="54" t="n"/>
      <c r="G183" s="55" t="n"/>
      <c r="H183" s="55" t="n"/>
      <c r="I183" s="54" t="n"/>
      <c r="J183" s="54" t="n"/>
      <c r="K183" s="54" t="n"/>
      <c r="L183" s="53" t="n"/>
      <c r="M183" s="53" t="n"/>
      <c r="N183" s="54" t="n"/>
      <c r="O183" s="54" t="n"/>
      <c r="P183" s="54" t="n"/>
      <c r="Q183" s="54" t="n"/>
      <c r="R183" s="54" t="n"/>
    </row>
    <row r="184" ht="15" customHeight="1" s="42">
      <c r="A184" s="53" t="n">
        <v>180</v>
      </c>
      <c r="B184" s="54" t="n"/>
      <c r="C184" s="54" t="n"/>
      <c r="D184" s="54" t="n"/>
      <c r="E184" s="54" t="n"/>
      <c r="F184" s="54" t="n"/>
      <c r="G184" s="55" t="n"/>
      <c r="H184" s="55" t="n"/>
      <c r="I184" s="54" t="n"/>
      <c r="J184" s="54" t="n"/>
      <c r="K184" s="54" t="n"/>
      <c r="L184" s="53" t="n"/>
      <c r="M184" s="53" t="n"/>
      <c r="N184" s="54" t="n"/>
      <c r="O184" s="54" t="n"/>
      <c r="P184" s="54" t="n"/>
      <c r="Q184" s="54" t="n"/>
      <c r="R184" s="54" t="n"/>
    </row>
    <row r="185" ht="15" customHeight="1" s="42">
      <c r="A185" s="53" t="n">
        <v>181</v>
      </c>
      <c r="B185" s="54" t="n"/>
      <c r="C185" s="54" t="n"/>
      <c r="D185" s="54" t="n"/>
      <c r="E185" s="54" t="n"/>
      <c r="F185" s="54" t="n"/>
      <c r="G185" s="55" t="n"/>
      <c r="H185" s="55" t="n"/>
      <c r="I185" s="54" t="n"/>
      <c r="J185" s="54" t="n"/>
      <c r="K185" s="54" t="n"/>
      <c r="L185" s="53" t="n"/>
      <c r="M185" s="53" t="n"/>
      <c r="N185" s="54" t="n"/>
      <c r="O185" s="54" t="n"/>
      <c r="P185" s="54" t="n"/>
      <c r="Q185" s="54" t="n"/>
      <c r="R185" s="54" t="n"/>
    </row>
    <row r="186" ht="15" customHeight="1" s="42">
      <c r="A186" s="53" t="n">
        <v>182</v>
      </c>
      <c r="B186" s="54" t="n"/>
      <c r="C186" s="54" t="n"/>
      <c r="D186" s="54" t="n"/>
      <c r="E186" s="54" t="n"/>
      <c r="F186" s="54" t="n"/>
      <c r="G186" s="55" t="n"/>
      <c r="H186" s="55" t="n"/>
      <c r="I186" s="54" t="n"/>
      <c r="J186" s="54" t="n"/>
      <c r="K186" s="54" t="n"/>
      <c r="L186" s="53" t="n"/>
      <c r="M186" s="53" t="n"/>
      <c r="N186" s="54" t="n"/>
      <c r="O186" s="54" t="n"/>
      <c r="P186" s="54" t="n"/>
      <c r="Q186" s="54" t="n"/>
      <c r="R186" s="54" t="n"/>
    </row>
    <row r="187" ht="15" customHeight="1" s="42">
      <c r="A187" s="53" t="n">
        <v>183</v>
      </c>
      <c r="B187" s="54" t="n"/>
      <c r="C187" s="54" t="n"/>
      <c r="D187" s="54" t="n"/>
      <c r="E187" s="54" t="n"/>
      <c r="F187" s="54" t="n"/>
      <c r="G187" s="55" t="n"/>
      <c r="H187" s="55" t="n"/>
      <c r="I187" s="54" t="n"/>
      <c r="J187" s="54" t="n"/>
      <c r="K187" s="54" t="n"/>
      <c r="L187" s="53" t="n"/>
      <c r="M187" s="53" t="n"/>
      <c r="N187" s="54" t="n"/>
      <c r="O187" s="54" t="n"/>
      <c r="P187" s="54" t="n"/>
      <c r="Q187" s="54" t="n"/>
      <c r="R187" s="54" t="n"/>
    </row>
    <row r="188" ht="15" customHeight="1" s="42">
      <c r="A188" s="53" t="n">
        <v>184</v>
      </c>
      <c r="B188" s="54" t="n"/>
      <c r="C188" s="54" t="n"/>
      <c r="D188" s="54" t="n"/>
      <c r="E188" s="54" t="n"/>
      <c r="F188" s="54" t="n"/>
      <c r="G188" s="55" t="n"/>
      <c r="H188" s="55" t="n"/>
      <c r="I188" s="54" t="n"/>
      <c r="J188" s="54" t="n"/>
      <c r="K188" s="54" t="n"/>
      <c r="L188" s="53" t="n"/>
      <c r="M188" s="53" t="n"/>
      <c r="N188" s="54" t="n"/>
      <c r="O188" s="54" t="n"/>
      <c r="P188" s="54" t="n"/>
      <c r="Q188" s="54" t="n"/>
      <c r="R188" s="54" t="n"/>
    </row>
    <row r="189" ht="15" customHeight="1" s="42">
      <c r="A189" s="53" t="n">
        <v>185</v>
      </c>
      <c r="B189" s="54" t="n"/>
      <c r="C189" s="54" t="n"/>
      <c r="D189" s="54" t="n"/>
      <c r="E189" s="54" t="n"/>
      <c r="F189" s="54" t="n"/>
      <c r="G189" s="55" t="n"/>
      <c r="H189" s="55" t="n"/>
      <c r="I189" s="54" t="n"/>
      <c r="J189" s="54" t="n"/>
      <c r="K189" s="54" t="n"/>
      <c r="L189" s="53" t="n"/>
      <c r="M189" s="53" t="n"/>
      <c r="N189" s="54" t="n"/>
      <c r="O189" s="54" t="n"/>
      <c r="P189" s="54" t="n"/>
      <c r="Q189" s="54" t="n"/>
      <c r="R189" s="54" t="n"/>
    </row>
    <row r="190" ht="15" customHeight="1" s="42">
      <c r="A190" s="53" t="n">
        <v>186</v>
      </c>
      <c r="B190" s="54" t="n"/>
      <c r="C190" s="54" t="n"/>
      <c r="D190" s="54" t="n"/>
      <c r="E190" s="54" t="n"/>
      <c r="F190" s="54" t="n"/>
      <c r="G190" s="55" t="n"/>
      <c r="H190" s="55" t="n"/>
      <c r="I190" s="54" t="n"/>
      <c r="J190" s="54" t="n"/>
      <c r="K190" s="54" t="n"/>
      <c r="L190" s="53" t="n"/>
      <c r="M190" s="53" t="n"/>
      <c r="N190" s="54" t="n"/>
      <c r="O190" s="54" t="n"/>
      <c r="P190" s="54" t="n"/>
      <c r="Q190" s="54" t="n"/>
      <c r="R190" s="54" t="n"/>
    </row>
    <row r="191" ht="15" customHeight="1" s="42">
      <c r="A191" s="53" t="n">
        <v>187</v>
      </c>
      <c r="B191" s="54" t="n"/>
      <c r="C191" s="54" t="n"/>
      <c r="D191" s="54" t="n"/>
      <c r="E191" s="54" t="n"/>
      <c r="F191" s="54" t="n"/>
      <c r="G191" s="55" t="n"/>
      <c r="H191" s="55" t="n"/>
      <c r="I191" s="54" t="n"/>
      <c r="J191" s="54" t="n"/>
      <c r="K191" s="54" t="n"/>
      <c r="L191" s="53" t="n"/>
      <c r="M191" s="53" t="n"/>
      <c r="N191" s="54" t="n"/>
      <c r="O191" s="54" t="n"/>
      <c r="P191" s="54" t="n"/>
      <c r="Q191" s="54" t="n"/>
      <c r="R191" s="54" t="n"/>
    </row>
    <row r="192" ht="15" customHeight="1" s="42">
      <c r="A192" s="53" t="n">
        <v>188</v>
      </c>
      <c r="B192" s="54" t="n"/>
      <c r="C192" s="54" t="n"/>
      <c r="D192" s="54" t="n"/>
      <c r="E192" s="54" t="n"/>
      <c r="F192" s="54" t="n"/>
      <c r="G192" s="55" t="n"/>
      <c r="H192" s="55" t="n"/>
      <c r="I192" s="54" t="n"/>
      <c r="J192" s="54" t="n"/>
      <c r="K192" s="54" t="n"/>
      <c r="L192" s="53" t="n"/>
      <c r="M192" s="53" t="n"/>
      <c r="N192" s="54" t="n"/>
      <c r="O192" s="54" t="n"/>
      <c r="P192" s="54" t="n"/>
      <c r="Q192" s="54" t="n"/>
      <c r="R192" s="54" t="n"/>
    </row>
    <row r="193" ht="15" customHeight="1" s="42">
      <c r="A193" s="53" t="n">
        <v>189</v>
      </c>
      <c r="B193" s="54" t="n"/>
      <c r="C193" s="54" t="n"/>
      <c r="D193" s="54" t="n"/>
      <c r="E193" s="54" t="n"/>
      <c r="F193" s="54" t="n"/>
      <c r="G193" s="55" t="n"/>
      <c r="H193" s="55" t="n"/>
      <c r="I193" s="54" t="n"/>
      <c r="J193" s="54" t="n"/>
      <c r="K193" s="54" t="n"/>
      <c r="L193" s="53" t="n"/>
      <c r="M193" s="53" t="n"/>
      <c r="N193" s="54" t="n"/>
      <c r="O193" s="54" t="n"/>
      <c r="P193" s="54" t="n"/>
      <c r="Q193" s="54" t="n"/>
      <c r="R193" s="54" t="n"/>
    </row>
    <row r="194" ht="15" customHeight="1" s="42">
      <c r="A194" s="53" t="n">
        <v>190</v>
      </c>
      <c r="B194" s="54" t="n"/>
      <c r="C194" s="54" t="n"/>
      <c r="D194" s="54" t="n"/>
      <c r="E194" s="54" t="n"/>
      <c r="F194" s="54" t="n"/>
      <c r="G194" s="55" t="n"/>
      <c r="H194" s="55" t="n"/>
      <c r="I194" s="54" t="n"/>
      <c r="J194" s="54" t="n"/>
      <c r="K194" s="54" t="n"/>
      <c r="L194" s="53" t="n"/>
      <c r="M194" s="53" t="n"/>
      <c r="N194" s="54" t="n"/>
      <c r="O194" s="54" t="n"/>
      <c r="P194" s="54" t="n"/>
      <c r="Q194" s="54" t="n"/>
      <c r="R194" s="54" t="n"/>
    </row>
    <row r="195" ht="15" customHeight="1" s="42">
      <c r="A195" s="53" t="n">
        <v>191</v>
      </c>
      <c r="B195" s="54" t="n"/>
      <c r="C195" s="54" t="n"/>
      <c r="D195" s="54" t="n"/>
      <c r="E195" s="54" t="n"/>
      <c r="F195" s="54" t="n"/>
      <c r="G195" s="55" t="n"/>
      <c r="H195" s="55" t="n"/>
      <c r="I195" s="54" t="n"/>
      <c r="J195" s="54" t="n"/>
      <c r="K195" s="54" t="n"/>
      <c r="L195" s="53" t="n"/>
      <c r="M195" s="53" t="n"/>
      <c r="N195" s="54" t="n"/>
      <c r="O195" s="54" t="n"/>
      <c r="P195" s="54" t="n"/>
      <c r="Q195" s="54" t="n"/>
      <c r="R195" s="54" t="n"/>
    </row>
    <row r="196" ht="15" customHeight="1" s="42">
      <c r="A196" s="53" t="n">
        <v>192</v>
      </c>
      <c r="B196" s="54" t="n"/>
      <c r="C196" s="54" t="n"/>
      <c r="D196" s="54" t="n"/>
      <c r="E196" s="54" t="n"/>
      <c r="F196" s="54" t="n"/>
      <c r="G196" s="55" t="n"/>
      <c r="H196" s="55" t="n"/>
      <c r="I196" s="54" t="n"/>
      <c r="J196" s="54" t="n"/>
      <c r="K196" s="54" t="n"/>
      <c r="L196" s="53" t="n"/>
      <c r="M196" s="53" t="n"/>
      <c r="N196" s="54" t="n"/>
      <c r="O196" s="54" t="n"/>
      <c r="P196" s="54" t="n"/>
      <c r="Q196" s="54" t="n"/>
      <c r="R196" s="54" t="n"/>
    </row>
    <row r="197" ht="15" customHeight="1" s="42">
      <c r="A197" s="53" t="n">
        <v>193</v>
      </c>
      <c r="B197" s="54" t="n"/>
      <c r="C197" s="54" t="n"/>
      <c r="D197" s="54" t="n"/>
      <c r="E197" s="54" t="n"/>
      <c r="F197" s="54" t="n"/>
      <c r="G197" s="55" t="n"/>
      <c r="H197" s="55" t="n"/>
      <c r="I197" s="54" t="n"/>
      <c r="J197" s="54" t="n"/>
      <c r="K197" s="54" t="n"/>
      <c r="L197" s="53" t="n"/>
      <c r="M197" s="53" t="n"/>
      <c r="N197" s="54" t="n"/>
      <c r="O197" s="54" t="n"/>
      <c r="P197" s="54" t="n"/>
      <c r="Q197" s="54" t="n"/>
      <c r="R197" s="54" t="n"/>
    </row>
    <row r="198" ht="15" customHeight="1" s="42">
      <c r="A198" s="53" t="n">
        <v>194</v>
      </c>
      <c r="B198" s="54" t="n"/>
      <c r="C198" s="54" t="n"/>
      <c r="D198" s="54" t="n"/>
      <c r="E198" s="54" t="n"/>
      <c r="F198" s="54" t="n"/>
      <c r="G198" s="55" t="n"/>
      <c r="H198" s="55" t="n"/>
      <c r="I198" s="54" t="n"/>
      <c r="J198" s="54" t="n"/>
      <c r="K198" s="54" t="n"/>
      <c r="L198" s="53" t="n"/>
      <c r="M198" s="53" t="n"/>
      <c r="N198" s="54" t="n"/>
      <c r="O198" s="54" t="n"/>
      <c r="P198" s="54" t="n"/>
      <c r="Q198" s="54" t="n"/>
      <c r="R198" s="54" t="n"/>
    </row>
    <row r="199" ht="15" customHeight="1" s="42">
      <c r="A199" s="53" t="n">
        <v>195</v>
      </c>
      <c r="B199" s="54" t="n"/>
      <c r="C199" s="54" t="n"/>
      <c r="D199" s="54" t="n"/>
      <c r="E199" s="54" t="n"/>
      <c r="F199" s="54" t="n"/>
      <c r="G199" s="55" t="n"/>
      <c r="H199" s="55" t="n"/>
      <c r="I199" s="54" t="n"/>
      <c r="J199" s="54" t="n"/>
      <c r="K199" s="54" t="n"/>
      <c r="L199" s="53" t="n"/>
      <c r="M199" s="53" t="n"/>
      <c r="N199" s="54" t="n"/>
      <c r="O199" s="54" t="n"/>
      <c r="P199" s="54" t="n"/>
      <c r="Q199" s="54" t="n"/>
      <c r="R199" s="54" t="n"/>
    </row>
    <row r="200" ht="15" customHeight="1" s="42">
      <c r="A200" s="53" t="n">
        <v>196</v>
      </c>
      <c r="B200" s="54" t="n"/>
      <c r="C200" s="54" t="n"/>
      <c r="D200" s="54" t="n"/>
      <c r="E200" s="54" t="n"/>
      <c r="F200" s="54" t="n"/>
      <c r="G200" s="55" t="n"/>
      <c r="H200" s="55" t="n"/>
      <c r="I200" s="54" t="n"/>
      <c r="J200" s="54" t="n"/>
      <c r="K200" s="54" t="n"/>
      <c r="L200" s="53" t="n"/>
      <c r="M200" s="53" t="n"/>
      <c r="N200" s="54" t="n"/>
      <c r="O200" s="54" t="n"/>
      <c r="P200" s="54" t="n"/>
      <c r="Q200" s="54" t="n"/>
      <c r="R200" s="54" t="n"/>
    </row>
    <row r="201" ht="15" customHeight="1" s="42">
      <c r="A201" s="53" t="n">
        <v>197</v>
      </c>
      <c r="B201" s="54" t="n"/>
      <c r="C201" s="54" t="n"/>
      <c r="D201" s="54" t="n"/>
      <c r="E201" s="54" t="n"/>
      <c r="F201" s="54" t="n"/>
      <c r="G201" s="55" t="n"/>
      <c r="H201" s="55" t="n"/>
      <c r="I201" s="54" t="n"/>
      <c r="J201" s="54" t="n"/>
      <c r="K201" s="54" t="n"/>
      <c r="L201" s="53" t="n"/>
      <c r="M201" s="53" t="n"/>
      <c r="N201" s="54" t="n"/>
      <c r="O201" s="54" t="n"/>
      <c r="P201" s="54" t="n"/>
      <c r="Q201" s="54" t="n"/>
      <c r="R201" s="54" t="n"/>
    </row>
    <row r="202" ht="15" customHeight="1" s="42">
      <c r="A202" s="53" t="n">
        <v>198</v>
      </c>
      <c r="B202" s="54" t="n"/>
      <c r="C202" s="54" t="n"/>
      <c r="D202" s="54" t="n"/>
      <c r="E202" s="54" t="n"/>
      <c r="F202" s="54" t="n"/>
      <c r="G202" s="55" t="n"/>
      <c r="H202" s="55" t="n"/>
      <c r="I202" s="54" t="n"/>
      <c r="J202" s="54" t="n"/>
      <c r="K202" s="54" t="n"/>
      <c r="L202" s="53" t="n"/>
      <c r="M202" s="53" t="n"/>
      <c r="N202" s="54" t="n"/>
      <c r="O202" s="54" t="n"/>
      <c r="P202" s="54" t="n"/>
      <c r="Q202" s="54" t="n"/>
      <c r="R202" s="54" t="n"/>
    </row>
    <row r="203" ht="15" customHeight="1" s="42">
      <c r="A203" s="53" t="n">
        <v>199</v>
      </c>
      <c r="B203" s="54" t="n"/>
      <c r="C203" s="54" t="n"/>
      <c r="D203" s="54" t="n"/>
      <c r="E203" s="54" t="n"/>
      <c r="F203" s="54" t="n"/>
      <c r="G203" s="55" t="n"/>
      <c r="H203" s="55" t="n"/>
      <c r="I203" s="54" t="n"/>
      <c r="J203" s="54" t="n"/>
      <c r="K203" s="54" t="n"/>
      <c r="L203" s="53" t="n"/>
      <c r="M203" s="53" t="n"/>
      <c r="N203" s="54" t="n"/>
      <c r="O203" s="54" t="n"/>
      <c r="P203" s="54" t="n"/>
      <c r="Q203" s="54" t="n"/>
      <c r="R203" s="54" t="n"/>
    </row>
    <row r="204" ht="15" customHeight="1" s="42">
      <c r="A204" s="53" t="n">
        <v>200</v>
      </c>
      <c r="B204" s="54" t="n"/>
      <c r="C204" s="54" t="n"/>
      <c r="D204" s="54" t="n"/>
      <c r="E204" s="54" t="n"/>
      <c r="F204" s="54" t="n"/>
      <c r="G204" s="55" t="n"/>
      <c r="H204" s="55" t="n"/>
      <c r="I204" s="54" t="n"/>
      <c r="J204" s="54" t="n"/>
      <c r="K204" s="54" t="n"/>
      <c r="L204" s="53" t="n"/>
      <c r="M204" s="53" t="n"/>
      <c r="N204" s="54" t="n"/>
      <c r="O204" s="54" t="n"/>
      <c r="P204" s="54" t="n"/>
      <c r="Q204" s="54" t="n"/>
      <c r="R204" s="54" t="n"/>
    </row>
  </sheetData>
  <conditionalFormatting sqref="P5:P204">
    <cfRule type="cellIs" rank="0" priority="2" equalAverage="0" operator="equal" aboveAverage="0" dxfId="0" text="" percent="0" bottom="0">
      <formula>"否"</formula>
    </cfRule>
  </conditionalFormatting>
  <conditionalFormatting sqref="A5:A204">
    <cfRule type="expression" rank="0" priority="3" equalAverage="0" aboveAverage="0" dxfId="1" text="" percent="0" bottom="0">
      <formula>AND($B5&lt;&gt;"",$L5&gt;=4)</formula>
    </cfRule>
  </conditionalFormatting>
  <conditionalFormatting sqref="L5:L204">
    <cfRule type="expression" rank="0" priority="4" equalAverage="0" aboveAverage="0" dxfId="1" text="" percent="0" bottom="0">
      <formula>AND($B5&lt;&gt;"",$K5&gt;=4)</formula>
    </cfRule>
  </conditionalFormatting>
  <conditionalFormatting sqref="K5:K204">
    <cfRule type="expression" rank="0" priority="5" equalAverage="0" aboveAverage="0" dxfId="2" text="" percent="0" bottom="0">
      <formula>AND($K5&lt;&gt;"",$K5=$J5)</formula>
    </cfRule>
  </conditionalFormatting>
  <dataValidations count="11">
    <dataValidation sqref="D5:D204" showDropDown="0" showInputMessage="0" showErrorMessage="0" allowBlank="1" type="list" errorStyle="stop" operator="between">
      <formula1>受控词表!$A$3:$A$8</formula1>
      <formula2>0</formula2>
    </dataValidation>
    <dataValidation sqref="E5:E204" showDropDown="0" showInputMessage="0" showErrorMessage="0" allowBlank="1" type="list" errorStyle="stop" operator="between">
      <formula1>受控词表!$K$3:$K$14</formula1>
      <formula2>0</formula2>
    </dataValidation>
    <dataValidation sqref="F5:F204" showDropDown="0" showInputMessage="0" showErrorMessage="0" allowBlank="1" type="list" errorStyle="stop" operator="between">
      <formula1>受控词表!$C$3:$C$17</formula1>
      <formula2>0</formula2>
    </dataValidation>
    <dataValidation sqref="I5:I204" showDropDown="0" showInputMessage="0" showErrorMessage="0" allowBlank="1" type="list" errorStyle="stop" operator="between">
      <formula1>受控词表!$E$3:$E$6</formula1>
      <formula2>0</formula2>
    </dataValidation>
    <dataValidation sqref="J5:J204" showDropDown="0" showInputMessage="0" showErrorMessage="0" allowBlank="1" type="list" errorStyle="stop" operator="between">
      <formula1>受控词表!$B$3:$B$11</formula1>
      <formula2>0</formula2>
    </dataValidation>
    <dataValidation sqref="K5:K204" showDropDown="0" showInputMessage="0" showErrorMessage="0" allowBlank="1" type="list" errorStyle="stop" operator="between">
      <formula1>受控词表!$B$3:$B$11</formula1>
      <formula2>0</formula2>
    </dataValidation>
    <dataValidation sqref="L5:L204" showDropDown="0" showInputMessage="0" showErrorMessage="0" allowBlank="1" type="list" errorStyle="stop" operator="between">
      <formula1>"1,2,3,4,5"</formula1>
      <formula2>0</formula2>
    </dataValidation>
    <dataValidation sqref="M5:M204" showDropDown="0" showInputMessage="0" showErrorMessage="0" allowBlank="1" type="list" errorStyle="stop" operator="between">
      <formula1>规范清单!$B$5:$B$204</formula1>
      <formula2>0</formula2>
    </dataValidation>
    <dataValidation sqref="O5:O204" showDropDown="0" showInputMessage="0" showErrorMessage="0" allowBlank="1" type="list" errorStyle="stop" operator="between">
      <formula1>受控词表!$F$3:$F$5</formula1>
      <formula2>0</formula2>
    </dataValidation>
    <dataValidation sqref="P5:P204" showDropDown="0" showInputMessage="0" showErrorMessage="0" allowBlank="1" type="list" errorStyle="stop" operator="between">
      <formula1>受控词表!$G$3:$G$4</formula1>
      <formula2>0</formula2>
    </dataValidation>
    <dataValidation sqref="Q5:Q204" showDropDown="0" showInputMessage="0" showErrorMessage="0" allowBlank="1" type="list" errorStyle="stop" operator="between">
      <formula1>受控词表!$H$3:$H$8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tabColor rgb="FFC00000"/>
    <outlinePr summaryBelow="1" summaryRight="1"/>
    <pageSetUpPr fitToPage="0"/>
  </sheetPr>
  <dimension ref="A1:K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1" min="1" max="1"/>
    <col width="13" customWidth="1" style="41" min="2" max="11"/>
  </cols>
  <sheetData>
    <row r="1" ht="21.6" customHeight="1" s="42">
      <c r="A1" s="50" t="inlineStr">
        <is>
          <t>Day1 · 海洋能源法领域地图 v0.5(6位阶 × 9主题,自动汇总)</t>
        </is>
      </c>
    </row>
    <row r="2" ht="15" customHeight="1" s="42">
      <c r="A2" s="51" t="inlineStr">
        <is>
          <t>红色格=空白区,黄色格=薄弱区(≤2)。「地方立法」行现在整行为红是正常的——它就是你下一阶段的补充方向。</t>
        </is>
      </c>
    </row>
    <row r="3"/>
    <row r="4" ht="17.15" customHeight="1" s="42">
      <c r="A4" s="47" t="inlineStr">
        <is>
          <t>矩阵 A · 规范文件数(主标签+次标签)</t>
        </is>
      </c>
    </row>
    <row r="5" ht="39.75" customHeight="1" s="42">
      <c r="A5" s="52" t="inlineStr">
        <is>
          <t>位阶 \ 主题</t>
        </is>
      </c>
      <c r="B5" s="52" t="inlineStr">
        <is>
          <t>规划与区划</t>
        </is>
      </c>
      <c r="C5" s="52" t="inlineStr">
        <is>
          <t>海洋空间与用海管理</t>
        </is>
      </c>
      <c r="D5" s="52" t="inlineStr">
        <is>
          <t>海洋可再生能源</t>
        </is>
      </c>
      <c r="E5" s="52" t="inlineStr">
        <is>
          <t>海洋油气与矿产资源</t>
        </is>
      </c>
      <c r="F5" s="52" t="inlineStr">
        <is>
          <t>能源基础设施</t>
        </is>
      </c>
      <c r="G5" s="52" t="inlineStr">
        <is>
          <t>价格、财税与市场机制</t>
        </is>
      </c>
      <c r="H5" s="52" t="inlineStr">
        <is>
          <t>生态环境与海岛保护</t>
        </is>
      </c>
      <c r="I5" s="52" t="inlineStr">
        <is>
          <t>海洋权益与涉外事务</t>
        </is>
      </c>
      <c r="J5" s="52" t="inlineStr">
        <is>
          <t>海洋观测与数据统计</t>
        </is>
      </c>
      <c r="K5" s="56" t="inlineStr">
        <is>
          <t>合计</t>
        </is>
      </c>
    </row>
    <row r="6" ht="15" customHeight="1" s="42">
      <c r="A6" s="57" t="inlineStr">
        <is>
          <t>法律</t>
        </is>
      </c>
      <c r="B6" s="58">
        <f>COUNTIFS(规范清单!$D$5:$D$204,$A6,规范清单!$J$5:$J$204,B$5)+COUNTIFS(规范清单!$D$5:$D$204,$A6,规范清单!$K$5:$K$204,B$5)</f>
        <v/>
      </c>
      <c r="C6" s="58">
        <f>COUNTIFS(规范清单!$D$5:$D$204,$A6,规范清单!$J$5:$J$204,C$5)+COUNTIFS(规范清单!$D$5:$D$204,$A6,规范清单!$K$5:$K$204,C$5)</f>
        <v/>
      </c>
      <c r="D6" s="58">
        <f>COUNTIFS(规范清单!$D$5:$D$204,$A6,规范清单!$J$5:$J$204,D$5)+COUNTIFS(规范清单!$D$5:$D$204,$A6,规范清单!$K$5:$K$204,D$5)</f>
        <v/>
      </c>
      <c r="E6" s="58">
        <f>COUNTIFS(规范清单!$D$5:$D$204,$A6,规范清单!$J$5:$J$204,E$5)+COUNTIFS(规范清单!$D$5:$D$204,$A6,规范清单!$K$5:$K$204,E$5)</f>
        <v/>
      </c>
      <c r="F6" s="58">
        <f>COUNTIFS(规范清单!$D$5:$D$204,$A6,规范清单!$J$5:$J$204,F$5)+COUNTIFS(规范清单!$D$5:$D$204,$A6,规范清单!$K$5:$K$204,F$5)</f>
        <v/>
      </c>
      <c r="G6" s="58">
        <f>COUNTIFS(规范清单!$D$5:$D$204,$A6,规范清单!$J$5:$J$204,G$5)+COUNTIFS(规范清单!$D$5:$D$204,$A6,规范清单!$K$5:$K$204,G$5)</f>
        <v/>
      </c>
      <c r="H6" s="58">
        <f>COUNTIFS(规范清单!$D$5:$D$204,$A6,规范清单!$J$5:$J$204,H$5)+COUNTIFS(规范清单!$D$5:$D$204,$A6,规范清单!$K$5:$K$204,H$5)</f>
        <v/>
      </c>
      <c r="I6" s="58">
        <f>COUNTIFS(规范清单!$D$5:$D$204,$A6,规范清单!$J$5:$J$204,I$5)+COUNTIFS(规范清单!$D$5:$D$204,$A6,规范清单!$K$5:$K$204,I$5)</f>
        <v/>
      </c>
      <c r="J6" s="58">
        <f>COUNTIFS(规范清单!$D$5:$D$204,$A6,规范清单!$J$5:$J$204,J$5)+COUNTIFS(规范清单!$D$5:$D$204,$A6,规范清单!$K$5:$K$204,J$5)</f>
        <v/>
      </c>
      <c r="K6" s="57">
        <f>SUM(B6:J6)</f>
        <v/>
      </c>
    </row>
    <row r="7" ht="15" customHeight="1" s="42">
      <c r="A7" s="57" t="inlineStr">
        <is>
          <t>行政法规</t>
        </is>
      </c>
      <c r="B7" s="58">
        <f>COUNTIFS(规范清单!$D$5:$D$204,$A7,规范清单!$J$5:$J$204,B$5)+COUNTIFS(规范清单!$D$5:$D$204,$A7,规范清单!$K$5:$K$204,B$5)</f>
        <v/>
      </c>
      <c r="C7" s="58">
        <f>COUNTIFS(规范清单!$D$5:$D$204,$A7,规范清单!$J$5:$J$204,C$5)+COUNTIFS(规范清单!$D$5:$D$204,$A7,规范清单!$K$5:$K$204,C$5)</f>
        <v/>
      </c>
      <c r="D7" s="58">
        <f>COUNTIFS(规范清单!$D$5:$D$204,$A7,规范清单!$J$5:$J$204,D$5)+COUNTIFS(规范清单!$D$5:$D$204,$A7,规范清单!$K$5:$K$204,D$5)</f>
        <v/>
      </c>
      <c r="E7" s="58">
        <f>COUNTIFS(规范清单!$D$5:$D$204,$A7,规范清单!$J$5:$J$204,E$5)+COUNTIFS(规范清单!$D$5:$D$204,$A7,规范清单!$K$5:$K$204,E$5)</f>
        <v/>
      </c>
      <c r="F7" s="58">
        <f>COUNTIFS(规范清单!$D$5:$D$204,$A7,规范清单!$J$5:$J$204,F$5)+COUNTIFS(规范清单!$D$5:$D$204,$A7,规范清单!$K$5:$K$204,F$5)</f>
        <v/>
      </c>
      <c r="G7" s="58">
        <f>COUNTIFS(规范清单!$D$5:$D$204,$A7,规范清单!$J$5:$J$204,G$5)+COUNTIFS(规范清单!$D$5:$D$204,$A7,规范清单!$K$5:$K$204,G$5)</f>
        <v/>
      </c>
      <c r="H7" s="58">
        <f>COUNTIFS(规范清单!$D$5:$D$204,$A7,规范清单!$J$5:$J$204,H$5)+COUNTIFS(规范清单!$D$5:$D$204,$A7,规范清单!$K$5:$K$204,H$5)</f>
        <v/>
      </c>
      <c r="I7" s="58">
        <f>COUNTIFS(规范清单!$D$5:$D$204,$A7,规范清单!$J$5:$J$204,I$5)+COUNTIFS(规范清单!$D$5:$D$204,$A7,规范清单!$K$5:$K$204,I$5)</f>
        <v/>
      </c>
      <c r="J7" s="58">
        <f>COUNTIFS(规范清单!$D$5:$D$204,$A7,规范清单!$J$5:$J$204,J$5)+COUNTIFS(规范清单!$D$5:$D$204,$A7,规范清单!$K$5:$K$204,J$5)</f>
        <v/>
      </c>
      <c r="K7" s="57">
        <f>SUM(B7:J7)</f>
        <v/>
      </c>
    </row>
    <row r="8" ht="15" customHeight="1" s="42">
      <c r="A8" s="57" t="inlineStr">
        <is>
          <t>部门规章</t>
        </is>
      </c>
      <c r="B8" s="58">
        <f>COUNTIFS(规范清单!$D$5:$D$204,$A8,规范清单!$J$5:$J$204,B$5)+COUNTIFS(规范清单!$D$5:$D$204,$A8,规范清单!$K$5:$K$204,B$5)</f>
        <v/>
      </c>
      <c r="C8" s="58">
        <f>COUNTIFS(规范清单!$D$5:$D$204,$A8,规范清单!$J$5:$J$204,C$5)+COUNTIFS(规范清单!$D$5:$D$204,$A8,规范清单!$K$5:$K$204,C$5)</f>
        <v/>
      </c>
      <c r="D8" s="58">
        <f>COUNTIFS(规范清单!$D$5:$D$204,$A8,规范清单!$J$5:$J$204,D$5)+COUNTIFS(规范清单!$D$5:$D$204,$A8,规范清单!$K$5:$K$204,D$5)</f>
        <v/>
      </c>
      <c r="E8" s="58">
        <f>COUNTIFS(规范清单!$D$5:$D$204,$A8,规范清单!$J$5:$J$204,E$5)+COUNTIFS(规范清单!$D$5:$D$204,$A8,规范清单!$K$5:$K$204,E$5)</f>
        <v/>
      </c>
      <c r="F8" s="58">
        <f>COUNTIFS(规范清单!$D$5:$D$204,$A8,规范清单!$J$5:$J$204,F$5)+COUNTIFS(规范清单!$D$5:$D$204,$A8,规范清单!$K$5:$K$204,F$5)</f>
        <v/>
      </c>
      <c r="G8" s="58">
        <f>COUNTIFS(规范清单!$D$5:$D$204,$A8,规范清单!$J$5:$J$204,G$5)+COUNTIFS(规范清单!$D$5:$D$204,$A8,规范清单!$K$5:$K$204,G$5)</f>
        <v/>
      </c>
      <c r="H8" s="58">
        <f>COUNTIFS(规范清单!$D$5:$D$204,$A8,规范清单!$J$5:$J$204,H$5)+COUNTIFS(规范清单!$D$5:$D$204,$A8,规范清单!$K$5:$K$204,H$5)</f>
        <v/>
      </c>
      <c r="I8" s="58">
        <f>COUNTIFS(规范清单!$D$5:$D$204,$A8,规范清单!$J$5:$J$204,I$5)+COUNTIFS(规范清单!$D$5:$D$204,$A8,规范清单!$K$5:$K$204,I$5)</f>
        <v/>
      </c>
      <c r="J8" s="58">
        <f>COUNTIFS(规范清单!$D$5:$D$204,$A8,规范清单!$J$5:$J$204,J$5)+COUNTIFS(规范清单!$D$5:$D$204,$A8,规范清单!$K$5:$K$204,J$5)</f>
        <v/>
      </c>
      <c r="K8" s="57">
        <f>SUM(B8:J8)</f>
        <v/>
      </c>
    </row>
    <row r="9" ht="15" customHeight="1" s="42">
      <c r="A9" s="57" t="inlineStr">
        <is>
          <t>地方立法</t>
        </is>
      </c>
      <c r="B9" s="58">
        <f>COUNTIFS(规范清单!$D$5:$D$204,$A9,规范清单!$J$5:$J$204,B$5)+COUNTIFS(规范清单!$D$5:$D$204,$A9,规范清单!$K$5:$K$204,B$5)</f>
        <v/>
      </c>
      <c r="C9" s="58">
        <f>COUNTIFS(规范清单!$D$5:$D$204,$A9,规范清单!$J$5:$J$204,C$5)+COUNTIFS(规范清单!$D$5:$D$204,$A9,规范清单!$K$5:$K$204,C$5)</f>
        <v/>
      </c>
      <c r="D9" s="58">
        <f>COUNTIFS(规范清单!$D$5:$D$204,$A9,规范清单!$J$5:$J$204,D$5)+COUNTIFS(规范清单!$D$5:$D$204,$A9,规范清单!$K$5:$K$204,D$5)</f>
        <v/>
      </c>
      <c r="E9" s="58">
        <f>COUNTIFS(规范清单!$D$5:$D$204,$A9,规范清单!$J$5:$J$204,E$5)+COUNTIFS(规范清单!$D$5:$D$204,$A9,规范清单!$K$5:$K$204,E$5)</f>
        <v/>
      </c>
      <c r="F9" s="58">
        <f>COUNTIFS(规范清单!$D$5:$D$204,$A9,规范清单!$J$5:$J$204,F$5)+COUNTIFS(规范清单!$D$5:$D$204,$A9,规范清单!$K$5:$K$204,F$5)</f>
        <v/>
      </c>
      <c r="G9" s="58">
        <f>COUNTIFS(规范清单!$D$5:$D$204,$A9,规范清单!$J$5:$J$204,G$5)+COUNTIFS(规范清单!$D$5:$D$204,$A9,规范清单!$K$5:$K$204,G$5)</f>
        <v/>
      </c>
      <c r="H9" s="58">
        <f>COUNTIFS(规范清单!$D$5:$D$204,$A9,规范清单!$J$5:$J$204,H$5)+COUNTIFS(规范清单!$D$5:$D$204,$A9,规范清单!$K$5:$K$204,H$5)</f>
        <v/>
      </c>
      <c r="I9" s="58">
        <f>COUNTIFS(规范清单!$D$5:$D$204,$A9,规范清单!$J$5:$J$204,I$5)+COUNTIFS(规范清单!$D$5:$D$204,$A9,规范清单!$K$5:$K$204,I$5)</f>
        <v/>
      </c>
      <c r="J9" s="58">
        <f>COUNTIFS(规范清单!$D$5:$D$204,$A9,规范清单!$J$5:$J$204,J$5)+COUNTIFS(规范清单!$D$5:$D$204,$A9,规范清单!$K$5:$K$204,J$5)</f>
        <v/>
      </c>
      <c r="K9" s="57">
        <f>SUM(B9:J9)</f>
        <v/>
      </c>
    </row>
    <row r="10" ht="15" customHeight="1" s="42">
      <c r="A10" s="57" t="inlineStr">
        <is>
          <t>规范性文件</t>
        </is>
      </c>
      <c r="B10" s="58">
        <f>COUNTIFS(规范清单!$D$5:$D$204,$A10,规范清单!$J$5:$J$204,B$5)+COUNTIFS(规范清单!$D$5:$D$204,$A10,规范清单!$K$5:$K$204,B$5)</f>
        <v/>
      </c>
      <c r="C10" s="58">
        <f>COUNTIFS(规范清单!$D$5:$D$204,$A10,规范清单!$J$5:$J$204,C$5)+COUNTIFS(规范清单!$D$5:$D$204,$A10,规范清单!$K$5:$K$204,C$5)</f>
        <v/>
      </c>
      <c r="D10" s="58">
        <f>COUNTIFS(规范清单!$D$5:$D$204,$A10,规范清单!$J$5:$J$204,D$5)+COUNTIFS(规范清单!$D$5:$D$204,$A10,规范清单!$K$5:$K$204,D$5)</f>
        <v/>
      </c>
      <c r="E10" s="58">
        <f>COUNTIFS(规范清单!$D$5:$D$204,$A10,规范清单!$J$5:$J$204,E$5)+COUNTIFS(规范清单!$D$5:$D$204,$A10,规范清单!$K$5:$K$204,E$5)</f>
        <v/>
      </c>
      <c r="F10" s="58">
        <f>COUNTIFS(规范清单!$D$5:$D$204,$A10,规范清单!$J$5:$J$204,F$5)+COUNTIFS(规范清单!$D$5:$D$204,$A10,规范清单!$K$5:$K$204,F$5)</f>
        <v/>
      </c>
      <c r="G10" s="58">
        <f>COUNTIFS(规范清单!$D$5:$D$204,$A10,规范清单!$J$5:$J$204,G$5)+COUNTIFS(规范清单!$D$5:$D$204,$A10,规范清单!$K$5:$K$204,G$5)</f>
        <v/>
      </c>
      <c r="H10" s="58">
        <f>COUNTIFS(规范清单!$D$5:$D$204,$A10,规范清单!$J$5:$J$204,H$5)+COUNTIFS(规范清单!$D$5:$D$204,$A10,规范清单!$K$5:$K$204,H$5)</f>
        <v/>
      </c>
      <c r="I10" s="58">
        <f>COUNTIFS(规范清单!$D$5:$D$204,$A10,规范清单!$J$5:$J$204,I$5)+COUNTIFS(规范清单!$D$5:$D$204,$A10,规范清单!$K$5:$K$204,I$5)</f>
        <v/>
      </c>
      <c r="J10" s="58">
        <f>COUNTIFS(规范清单!$D$5:$D$204,$A10,规范清单!$J$5:$J$204,J$5)+COUNTIFS(规范清单!$D$5:$D$204,$A10,规范清单!$K$5:$K$204,J$5)</f>
        <v/>
      </c>
      <c r="K10" s="57">
        <f>SUM(B10:J10)</f>
        <v/>
      </c>
    </row>
    <row r="11" ht="15" customHeight="1" s="42">
      <c r="A11" s="57" t="inlineStr">
        <is>
          <t>政策文件</t>
        </is>
      </c>
      <c r="B11" s="58">
        <f>COUNTIFS(规范清单!$D$5:$D$204,$A11,规范清单!$J$5:$J$204,B$5)+COUNTIFS(规范清单!$D$5:$D$204,$A11,规范清单!$K$5:$K$204,B$5)</f>
        <v/>
      </c>
      <c r="C11" s="58">
        <f>COUNTIFS(规范清单!$D$5:$D$204,$A11,规范清单!$J$5:$J$204,C$5)+COUNTIFS(规范清单!$D$5:$D$204,$A11,规范清单!$K$5:$K$204,C$5)</f>
        <v/>
      </c>
      <c r="D11" s="58">
        <f>COUNTIFS(规范清单!$D$5:$D$204,$A11,规范清单!$J$5:$J$204,D$5)+COUNTIFS(规范清单!$D$5:$D$204,$A11,规范清单!$K$5:$K$204,D$5)</f>
        <v/>
      </c>
      <c r="E11" s="58">
        <f>COUNTIFS(规范清单!$D$5:$D$204,$A11,规范清单!$J$5:$J$204,E$5)+COUNTIFS(规范清单!$D$5:$D$204,$A11,规范清单!$K$5:$K$204,E$5)</f>
        <v/>
      </c>
      <c r="F11" s="58">
        <f>COUNTIFS(规范清单!$D$5:$D$204,$A11,规范清单!$J$5:$J$204,F$5)+COUNTIFS(规范清单!$D$5:$D$204,$A11,规范清单!$K$5:$K$204,F$5)</f>
        <v/>
      </c>
      <c r="G11" s="58">
        <f>COUNTIFS(规范清单!$D$5:$D$204,$A11,规范清单!$J$5:$J$204,G$5)+COUNTIFS(规范清单!$D$5:$D$204,$A11,规范清单!$K$5:$K$204,G$5)</f>
        <v/>
      </c>
      <c r="H11" s="58">
        <f>COUNTIFS(规范清单!$D$5:$D$204,$A11,规范清单!$J$5:$J$204,H$5)+COUNTIFS(规范清单!$D$5:$D$204,$A11,规范清单!$K$5:$K$204,H$5)</f>
        <v/>
      </c>
      <c r="I11" s="58">
        <f>COUNTIFS(规范清单!$D$5:$D$204,$A11,规范清单!$J$5:$J$204,I$5)+COUNTIFS(规范清单!$D$5:$D$204,$A11,规范清单!$K$5:$K$204,I$5)</f>
        <v/>
      </c>
      <c r="J11" s="58">
        <f>COUNTIFS(规范清单!$D$5:$D$204,$A11,规范清单!$J$5:$J$204,J$5)+COUNTIFS(规范清单!$D$5:$D$204,$A11,规范清单!$K$5:$K$204,J$5)</f>
        <v/>
      </c>
      <c r="K11" s="57">
        <f>SUM(B11:J11)</f>
        <v/>
      </c>
    </row>
    <row r="12" ht="15" customHeight="1" s="42">
      <c r="A12" s="57" t="inlineStr">
        <is>
          <t>合计</t>
        </is>
      </c>
      <c r="B12" s="57">
        <f>SUM(B6:B11)</f>
        <v/>
      </c>
      <c r="C12" s="57">
        <f>SUM(C6:C11)</f>
        <v/>
      </c>
      <c r="D12" s="57">
        <f>SUM(D6:D11)</f>
        <v/>
      </c>
      <c r="E12" s="57">
        <f>SUM(E6:E11)</f>
        <v/>
      </c>
      <c r="F12" s="57">
        <f>SUM(F6:F11)</f>
        <v/>
      </c>
      <c r="G12" s="57">
        <f>SUM(G6:G11)</f>
        <v/>
      </c>
      <c r="H12" s="57">
        <f>SUM(H6:H11)</f>
        <v/>
      </c>
      <c r="I12" s="57">
        <f>SUM(I6:I11)</f>
        <v/>
      </c>
      <c r="J12" s="57">
        <f>SUM(J6:J11)</f>
        <v/>
      </c>
      <c r="K12" s="57">
        <f>SUM(K6:K11)</f>
        <v/>
      </c>
    </row>
    <row r="15" ht="17.15" customHeight="1" s="42">
      <c r="A15" s="47" t="inlineStr">
        <is>
          <t>矩阵 B · 预估可拆条目数(按主标签统计)</t>
        </is>
      </c>
    </row>
    <row r="16" ht="39.75" customHeight="1" s="42">
      <c r="A16" s="52" t="inlineStr">
        <is>
          <t>位阶 \ 主题</t>
        </is>
      </c>
      <c r="B16" s="52" t="inlineStr">
        <is>
          <t>规划与区划</t>
        </is>
      </c>
      <c r="C16" s="52" t="inlineStr">
        <is>
          <t>海洋空间与用海管理</t>
        </is>
      </c>
      <c r="D16" s="52" t="inlineStr">
        <is>
          <t>海洋可再生能源</t>
        </is>
      </c>
      <c r="E16" s="52" t="inlineStr">
        <is>
          <t>海洋油气与矿产资源</t>
        </is>
      </c>
      <c r="F16" s="52" t="inlineStr">
        <is>
          <t>能源基础设施</t>
        </is>
      </c>
      <c r="G16" s="52" t="inlineStr">
        <is>
          <t>价格、财税与市场机制</t>
        </is>
      </c>
      <c r="H16" s="52" t="inlineStr">
        <is>
          <t>生态环境与海岛保护</t>
        </is>
      </c>
      <c r="I16" s="52" t="inlineStr">
        <is>
          <t>海洋权益与涉外事务</t>
        </is>
      </c>
      <c r="J16" s="52" t="inlineStr">
        <is>
          <t>海洋观测与数据统计</t>
        </is>
      </c>
      <c r="K16" s="56" t="inlineStr">
        <is>
          <t>合计</t>
        </is>
      </c>
    </row>
    <row r="17" ht="15" customHeight="1" s="42">
      <c r="A17" s="57" t="inlineStr">
        <is>
          <t>法律</t>
        </is>
      </c>
      <c r="B17" s="58">
        <f>SUMIFS(规范清单!$N$5:$N$204,规范清单!$D$5:$D$204,$A17,规范清单!$J$5:$J$204,B$16)</f>
        <v/>
      </c>
      <c r="C17" s="58">
        <f>SUMIFS(规范清单!$N$5:$N$204,规范清单!$D$5:$D$204,$A17,规范清单!$J$5:$J$204,C$16)</f>
        <v/>
      </c>
      <c r="D17" s="58">
        <f>SUMIFS(规范清单!$N$5:$N$204,规范清单!$D$5:$D$204,$A17,规范清单!$J$5:$J$204,D$16)</f>
        <v/>
      </c>
      <c r="E17" s="58">
        <f>SUMIFS(规范清单!$N$5:$N$204,规范清单!$D$5:$D$204,$A17,规范清单!$J$5:$J$204,E$16)</f>
        <v/>
      </c>
      <c r="F17" s="58">
        <f>SUMIFS(规范清单!$N$5:$N$204,规范清单!$D$5:$D$204,$A17,规范清单!$J$5:$J$204,F$16)</f>
        <v/>
      </c>
      <c r="G17" s="58">
        <f>SUMIFS(规范清单!$N$5:$N$204,规范清单!$D$5:$D$204,$A17,规范清单!$J$5:$J$204,G$16)</f>
        <v/>
      </c>
      <c r="H17" s="58">
        <f>SUMIFS(规范清单!$N$5:$N$204,规范清单!$D$5:$D$204,$A17,规范清单!$J$5:$J$204,H$16)</f>
        <v/>
      </c>
      <c r="I17" s="58">
        <f>SUMIFS(规范清单!$N$5:$N$204,规范清单!$D$5:$D$204,$A17,规范清单!$J$5:$J$204,I$16)</f>
        <v/>
      </c>
      <c r="J17" s="58">
        <f>SUMIFS(规范清单!$N$5:$N$204,规范清单!$D$5:$D$204,$A17,规范清单!$J$5:$J$204,J$16)</f>
        <v/>
      </c>
      <c r="K17" s="57">
        <f>SUM(B17:J17)</f>
        <v/>
      </c>
    </row>
    <row r="18" ht="15" customHeight="1" s="42">
      <c r="A18" s="57" t="inlineStr">
        <is>
          <t>行政法规</t>
        </is>
      </c>
      <c r="B18" s="58">
        <f>SUMIFS(规范清单!$N$5:$N$204,规范清单!$D$5:$D$204,$A18,规范清单!$J$5:$J$204,B$16)</f>
        <v/>
      </c>
      <c r="C18" s="58">
        <f>SUMIFS(规范清单!$N$5:$N$204,规范清单!$D$5:$D$204,$A18,规范清单!$J$5:$J$204,C$16)</f>
        <v/>
      </c>
      <c r="D18" s="58">
        <f>SUMIFS(规范清单!$N$5:$N$204,规范清单!$D$5:$D$204,$A18,规范清单!$J$5:$J$204,D$16)</f>
        <v/>
      </c>
      <c r="E18" s="58">
        <f>SUMIFS(规范清单!$N$5:$N$204,规范清单!$D$5:$D$204,$A18,规范清单!$J$5:$J$204,E$16)</f>
        <v/>
      </c>
      <c r="F18" s="58">
        <f>SUMIFS(规范清单!$N$5:$N$204,规范清单!$D$5:$D$204,$A18,规范清单!$J$5:$J$204,F$16)</f>
        <v/>
      </c>
      <c r="G18" s="58">
        <f>SUMIFS(规范清单!$N$5:$N$204,规范清单!$D$5:$D$204,$A18,规范清单!$J$5:$J$204,G$16)</f>
        <v/>
      </c>
      <c r="H18" s="58">
        <f>SUMIFS(规范清单!$N$5:$N$204,规范清单!$D$5:$D$204,$A18,规范清单!$J$5:$J$204,H$16)</f>
        <v/>
      </c>
      <c r="I18" s="58">
        <f>SUMIFS(规范清单!$N$5:$N$204,规范清单!$D$5:$D$204,$A18,规范清单!$J$5:$J$204,I$16)</f>
        <v/>
      </c>
      <c r="J18" s="58">
        <f>SUMIFS(规范清单!$N$5:$N$204,规范清单!$D$5:$D$204,$A18,规范清单!$J$5:$J$204,J$16)</f>
        <v/>
      </c>
      <c r="K18" s="57">
        <f>SUM(B18:J18)</f>
        <v/>
      </c>
    </row>
    <row r="19" ht="15" customHeight="1" s="42">
      <c r="A19" s="57" t="inlineStr">
        <is>
          <t>部门规章</t>
        </is>
      </c>
      <c r="B19" s="58">
        <f>SUMIFS(规范清单!$N$5:$N$204,规范清单!$D$5:$D$204,$A19,规范清单!$J$5:$J$204,B$16)</f>
        <v/>
      </c>
      <c r="C19" s="58">
        <f>SUMIFS(规范清单!$N$5:$N$204,规范清单!$D$5:$D$204,$A19,规范清单!$J$5:$J$204,C$16)</f>
        <v/>
      </c>
      <c r="D19" s="58">
        <f>SUMIFS(规范清单!$N$5:$N$204,规范清单!$D$5:$D$204,$A19,规范清单!$J$5:$J$204,D$16)</f>
        <v/>
      </c>
      <c r="E19" s="58">
        <f>SUMIFS(规范清单!$N$5:$N$204,规范清单!$D$5:$D$204,$A19,规范清单!$J$5:$J$204,E$16)</f>
        <v/>
      </c>
      <c r="F19" s="58">
        <f>SUMIFS(规范清单!$N$5:$N$204,规范清单!$D$5:$D$204,$A19,规范清单!$J$5:$J$204,F$16)</f>
        <v/>
      </c>
      <c r="G19" s="58">
        <f>SUMIFS(规范清单!$N$5:$N$204,规范清单!$D$5:$D$204,$A19,规范清单!$J$5:$J$204,G$16)</f>
        <v/>
      </c>
      <c r="H19" s="58">
        <f>SUMIFS(规范清单!$N$5:$N$204,规范清单!$D$5:$D$204,$A19,规范清单!$J$5:$J$204,H$16)</f>
        <v/>
      </c>
      <c r="I19" s="58">
        <f>SUMIFS(规范清单!$N$5:$N$204,规范清单!$D$5:$D$204,$A19,规范清单!$J$5:$J$204,I$16)</f>
        <v/>
      </c>
      <c r="J19" s="58">
        <f>SUMIFS(规范清单!$N$5:$N$204,规范清单!$D$5:$D$204,$A19,规范清单!$J$5:$J$204,J$16)</f>
        <v/>
      </c>
      <c r="K19" s="57">
        <f>SUM(B19:J19)</f>
        <v/>
      </c>
    </row>
    <row r="20" ht="15" customHeight="1" s="42">
      <c r="A20" s="57" t="inlineStr">
        <is>
          <t>地方立法</t>
        </is>
      </c>
      <c r="B20" s="58">
        <f>SUMIFS(规范清单!$N$5:$N$204,规范清单!$D$5:$D$204,$A20,规范清单!$J$5:$J$204,B$16)</f>
        <v/>
      </c>
      <c r="C20" s="58">
        <f>SUMIFS(规范清单!$N$5:$N$204,规范清单!$D$5:$D$204,$A20,规范清单!$J$5:$J$204,C$16)</f>
        <v/>
      </c>
      <c r="D20" s="58">
        <f>SUMIFS(规范清单!$N$5:$N$204,规范清单!$D$5:$D$204,$A20,规范清单!$J$5:$J$204,D$16)</f>
        <v/>
      </c>
      <c r="E20" s="58">
        <f>SUMIFS(规范清单!$N$5:$N$204,规范清单!$D$5:$D$204,$A20,规范清单!$J$5:$J$204,E$16)</f>
        <v/>
      </c>
      <c r="F20" s="58">
        <f>SUMIFS(规范清单!$N$5:$N$204,规范清单!$D$5:$D$204,$A20,规范清单!$J$5:$J$204,F$16)</f>
        <v/>
      </c>
      <c r="G20" s="58">
        <f>SUMIFS(规范清单!$N$5:$N$204,规范清单!$D$5:$D$204,$A20,规范清单!$J$5:$J$204,G$16)</f>
        <v/>
      </c>
      <c r="H20" s="58">
        <f>SUMIFS(规范清单!$N$5:$N$204,规范清单!$D$5:$D$204,$A20,规范清单!$J$5:$J$204,H$16)</f>
        <v/>
      </c>
      <c r="I20" s="58">
        <f>SUMIFS(规范清单!$N$5:$N$204,规范清单!$D$5:$D$204,$A20,规范清单!$J$5:$J$204,I$16)</f>
        <v/>
      </c>
      <c r="J20" s="58">
        <f>SUMIFS(规范清单!$N$5:$N$204,规范清单!$D$5:$D$204,$A20,规范清单!$J$5:$J$204,J$16)</f>
        <v/>
      </c>
      <c r="K20" s="57">
        <f>SUM(B20:J20)</f>
        <v/>
      </c>
    </row>
    <row r="21" ht="15" customHeight="1" s="42">
      <c r="A21" s="57" t="inlineStr">
        <is>
          <t>规范性文件</t>
        </is>
      </c>
      <c r="B21" s="58">
        <f>SUMIFS(规范清单!$N$5:$N$204,规范清单!$D$5:$D$204,$A21,规范清单!$J$5:$J$204,B$16)</f>
        <v/>
      </c>
      <c r="C21" s="58">
        <f>SUMIFS(规范清单!$N$5:$N$204,规范清单!$D$5:$D$204,$A21,规范清单!$J$5:$J$204,C$16)</f>
        <v/>
      </c>
      <c r="D21" s="58">
        <f>SUMIFS(规范清单!$N$5:$N$204,规范清单!$D$5:$D$204,$A21,规范清单!$J$5:$J$204,D$16)</f>
        <v/>
      </c>
      <c r="E21" s="58">
        <f>SUMIFS(规范清单!$N$5:$N$204,规范清单!$D$5:$D$204,$A21,规范清单!$J$5:$J$204,E$16)</f>
        <v/>
      </c>
      <c r="F21" s="58">
        <f>SUMIFS(规范清单!$N$5:$N$204,规范清单!$D$5:$D$204,$A21,规范清单!$J$5:$J$204,F$16)</f>
        <v/>
      </c>
      <c r="G21" s="58">
        <f>SUMIFS(规范清单!$N$5:$N$204,规范清单!$D$5:$D$204,$A21,规范清单!$J$5:$J$204,G$16)</f>
        <v/>
      </c>
      <c r="H21" s="58">
        <f>SUMIFS(规范清单!$N$5:$N$204,规范清单!$D$5:$D$204,$A21,规范清单!$J$5:$J$204,H$16)</f>
        <v/>
      </c>
      <c r="I21" s="58">
        <f>SUMIFS(规范清单!$N$5:$N$204,规范清单!$D$5:$D$204,$A21,规范清单!$J$5:$J$204,I$16)</f>
        <v/>
      </c>
      <c r="J21" s="58">
        <f>SUMIFS(规范清单!$N$5:$N$204,规范清单!$D$5:$D$204,$A21,规范清单!$J$5:$J$204,J$16)</f>
        <v/>
      </c>
      <c r="K21" s="57">
        <f>SUM(B21:J21)</f>
        <v/>
      </c>
    </row>
    <row r="22" ht="15" customHeight="1" s="42">
      <c r="A22" s="57" t="inlineStr">
        <is>
          <t>政策文件</t>
        </is>
      </c>
      <c r="B22" s="58">
        <f>SUMIFS(规范清单!$N$5:$N$204,规范清单!$D$5:$D$204,$A22,规范清单!$J$5:$J$204,B$16)</f>
        <v/>
      </c>
      <c r="C22" s="58">
        <f>SUMIFS(规范清单!$N$5:$N$204,规范清单!$D$5:$D$204,$A22,规范清单!$J$5:$J$204,C$16)</f>
        <v/>
      </c>
      <c r="D22" s="58">
        <f>SUMIFS(规范清单!$N$5:$N$204,规范清单!$D$5:$D$204,$A22,规范清单!$J$5:$J$204,D$16)</f>
        <v/>
      </c>
      <c r="E22" s="58">
        <f>SUMIFS(规范清单!$N$5:$N$204,规范清单!$D$5:$D$204,$A22,规范清单!$J$5:$J$204,E$16)</f>
        <v/>
      </c>
      <c r="F22" s="58">
        <f>SUMIFS(规范清单!$N$5:$N$204,规范清单!$D$5:$D$204,$A22,规范清单!$J$5:$J$204,F$16)</f>
        <v/>
      </c>
      <c r="G22" s="58">
        <f>SUMIFS(规范清单!$N$5:$N$204,规范清单!$D$5:$D$204,$A22,规范清单!$J$5:$J$204,G$16)</f>
        <v/>
      </c>
      <c r="H22" s="58">
        <f>SUMIFS(规范清单!$N$5:$N$204,规范清单!$D$5:$D$204,$A22,规范清单!$J$5:$J$204,H$16)</f>
        <v/>
      </c>
      <c r="I22" s="58">
        <f>SUMIFS(规范清单!$N$5:$N$204,规范清单!$D$5:$D$204,$A22,规范清单!$J$5:$J$204,I$16)</f>
        <v/>
      </c>
      <c r="J22" s="58">
        <f>SUMIFS(规范清单!$N$5:$N$204,规范清单!$D$5:$D$204,$A22,规范清单!$J$5:$J$204,J$16)</f>
        <v/>
      </c>
      <c r="K22" s="57">
        <f>SUM(B22:J22)</f>
        <v/>
      </c>
    </row>
    <row r="23" ht="15" customHeight="1" s="42">
      <c r="A23" s="57" t="inlineStr">
        <is>
          <t>合计</t>
        </is>
      </c>
      <c r="B23" s="57">
        <f>SUM(B17:B22)</f>
        <v/>
      </c>
      <c r="C23" s="57">
        <f>SUM(C17:C22)</f>
        <v/>
      </c>
      <c r="D23" s="57">
        <f>SUM(D17:D22)</f>
        <v/>
      </c>
      <c r="E23" s="57">
        <f>SUM(E17:E22)</f>
        <v/>
      </c>
      <c r="F23" s="57">
        <f>SUM(F17:F22)</f>
        <v/>
      </c>
      <c r="G23" s="57">
        <f>SUM(G17:G22)</f>
        <v/>
      </c>
      <c r="H23" s="57">
        <f>SUM(H17:H22)</f>
        <v/>
      </c>
      <c r="I23" s="57">
        <f>SUM(I17:I22)</f>
        <v/>
      </c>
      <c r="J23" s="57">
        <f>SUM(J17:J22)</f>
        <v/>
      </c>
      <c r="K23" s="57">
        <f>SUM(K17:K22)</f>
        <v/>
      </c>
    </row>
    <row r="26" ht="17.15" customHeight="1" s="42">
      <c r="A26" s="47" t="inlineStr">
        <is>
          <t>容量核算 v0.3 · 产能 vs 总工作量(含双人复核)</t>
        </is>
      </c>
    </row>
    <row r="27" ht="15" customHeight="1" s="42">
      <c r="A27" s="59" t="inlineStr">
        <is>
          <t>学生人数(国家层班级)</t>
        </is>
      </c>
      <c r="B27" s="60" t="n">
        <v>52</v>
      </c>
    </row>
    <row r="28" ht="15" customHeight="1" s="42">
      <c r="A28" s="59" t="inlineStr">
        <is>
          <t>人均条目数</t>
        </is>
      </c>
      <c r="B28" s="60" t="n">
        <v>25</v>
      </c>
    </row>
    <row r="29" ht="15" customHeight="1" s="42">
      <c r="A29" s="59" t="inlineStr">
        <is>
          <t>班级总产能(人条)</t>
        </is>
      </c>
      <c r="B29" s="58">
        <f>B27*B28</f>
        <v/>
      </c>
    </row>
    <row r="30" ht="15" customHeight="1" s="42">
      <c r="A30" s="59" t="inlineStr">
        <is>
          <t>地图预估唯一条目</t>
        </is>
      </c>
      <c r="B30" s="58">
        <f>K23</f>
        <v/>
      </c>
    </row>
    <row r="31" ht="15" customHeight="1" s="42">
      <c r="A31" s="61" t="inlineStr">
        <is>
          <t>≥4星规范文件数</t>
        </is>
      </c>
      <c r="B31" s="58">
        <f>COUNTIF(规范清单!$L$5:$L$204,"&gt;=4")</f>
        <v/>
      </c>
    </row>
    <row r="32" ht="15" customHeight="1" s="42">
      <c r="A32" s="59" t="inlineStr">
        <is>
          <t>双人复核增量(≥4星条目,第二人重做)</t>
        </is>
      </c>
      <c r="B32" s="58">
        <f>SUMIFS(规范清单!$N$5:$N$204,规范清单!$L$5:$L$204,"&gt;=4")</f>
        <v/>
      </c>
    </row>
    <row r="33" ht="15" customHeight="1" s="42">
      <c r="A33" s="59" t="inlineStr">
        <is>
          <t>总工作量(唯一条目+复核增量)</t>
        </is>
      </c>
      <c r="B33" s="58">
        <f>B30+B32</f>
        <v/>
      </c>
    </row>
    <row r="34" ht="15" customHeight="1" s="42">
      <c r="A34" s="59" t="inlineStr">
        <is>
          <t>产能余量</t>
        </is>
      </c>
      <c r="B34" s="58">
        <f>B29-B33</f>
        <v/>
      </c>
    </row>
    <row r="35" ht="33.75" customHeight="1" s="42">
      <c r="A35" s="59" t="inlineStr">
        <is>
          <t>结论</t>
        </is>
      </c>
      <c r="B35" s="62">
        <f>IF(B29=0,"请先填写人数与人均条目",IF(B34&gt;=0,"产能可覆盖国家层。余量为 "&amp;B34&amp;" 人条:余量很小时,废稿与返工主要由v1→v2修订轮吸收","缺口 "&amp;ABS(B34)&amp;" 人条:①下调4星名单 ②人均再上调 ③削减低星文件条目"))</f>
        <v/>
      </c>
      <c r="C35" s="63" t="n"/>
      <c r="D35" s="63" t="n"/>
      <c r="E35" s="63" t="n"/>
      <c r="F35" s="63" t="n"/>
      <c r="G35" s="63" t="n"/>
      <c r="H35" s="63" t="n"/>
      <c r="I35" s="64" t="n"/>
    </row>
    <row r="37" ht="15" customHeight="1" s="42">
      <c r="A37" s="65" t="inlineStr">
        <is>
          <t>v0.3 起不再使用盲目冗余系数:认领制避免重复选题,双人复核承担质量冗余,二者已替代其功能。地方层(第二班级)开启后,复制本块并按区域筛选另行核算。</t>
        </is>
      </c>
    </row>
    <row r="39" ht="15" customHeight="1" s="42">
      <c r="A39" s="51" t="inlineStr">
        <is>
          <t>提示:双人录入不是简单加倍——两人独立完成后比对差异,差异本身就是课堂讨论素材,也是数据质量的天然检验。</t>
        </is>
      </c>
    </row>
  </sheetData>
  <mergeCells count="1">
    <mergeCell ref="B35:I35"/>
  </mergeCells>
  <conditionalFormatting sqref="B6:J11">
    <cfRule type="cellIs" rank="0" priority="2" equalAverage="0" operator="equal" aboveAverage="0" dxfId="2" text="" percent="0" bottom="0">
      <formula>0</formula>
    </cfRule>
    <cfRule type="cellIs" rank="0" priority="3" equalAverage="0" operator="between" aboveAverage="0" dxfId="0" text="" percent="0" bottom="0">
      <formula>1</formula>
      <formula>2</formula>
    </cfRule>
  </conditionalFormatting>
  <conditionalFormatting sqref="B17:J22">
    <cfRule type="cellIs" rank="0" priority="4" equalAverage="0" operator="equal" aboveAverage="0" dxfId="2" text="" percent="0" bottom="0">
      <formula>0</formula>
    </cfRule>
    <cfRule type="cellIs" rank="0" priority="5" equalAverage="0" operator="between" aboveAverage="0" dxfId="0" text="" percent="0" bottom="0">
      <formula>1</formula>
      <formula>2</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548235"/>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5" customWidth="1" style="41" min="1" max="1"/>
    <col width="16" customWidth="1" style="41" min="2" max="2"/>
    <col width="18" customWidth="1" style="41" min="3" max="3"/>
    <col width="8" customWidth="1" style="41" min="4" max="4"/>
    <col width="12" customWidth="1" style="41" min="5" max="5"/>
    <col width="26" customWidth="1" style="41" min="6" max="6"/>
    <col width="36" customWidth="1" style="41" min="7" max="7"/>
    <col width="44" customWidth="1" style="41" min="8" max="8"/>
    <col width="30" customWidth="1" style="41" min="9" max="9"/>
  </cols>
  <sheetData>
    <row r="1" ht="21.6" customHeight="1" s="42">
      <c r="A1" s="50" t="inlineStr">
        <is>
          <t>Day2 · 数据标注规范 v0.5 · 字段定义</t>
        </is>
      </c>
    </row>
    <row r="2" ht="15" customHeight="1" s="42">
      <c r="A2" s="65" t="inlineStr">
        <is>
          <t>v0.3 变更:新增制定区域、央地权限配置(国家层填)、地方自主权类型(地方层填)。v0.2 变更:文号(法律可不填)、位阶(地方立法)、条文定位(允许第X段)、行为模式类型(增指导性)、主题标签(九类)。改动须升版本并记入【修订日志】。</t>
        </is>
      </c>
    </row>
    <row r="3"/>
    <row r="4" ht="31.5" customHeight="1" s="42">
      <c r="A4" s="52" t="inlineStr">
        <is>
          <t>序</t>
        </is>
      </c>
      <c r="B4" s="52" t="inlineStr">
        <is>
          <t>字段名</t>
        </is>
      </c>
      <c r="C4" s="52" t="inlineStr">
        <is>
          <t>字段ID(英文)</t>
        </is>
      </c>
      <c r="D4" s="52" t="inlineStr">
        <is>
          <t>必填</t>
        </is>
      </c>
      <c r="E4" s="52" t="inlineStr">
        <is>
          <t>数据类型</t>
        </is>
      </c>
      <c r="F4" s="52" t="inlineStr">
        <is>
          <t>取值约束</t>
        </is>
      </c>
      <c r="G4" s="52" t="inlineStr">
        <is>
          <t>校验规则(供Day4脚本)</t>
        </is>
      </c>
      <c r="H4" s="52" t="inlineStr">
        <is>
          <t>填写说明</t>
        </is>
      </c>
      <c r="I4" s="52" t="inlineStr">
        <is>
          <t>常见错误</t>
        </is>
      </c>
    </row>
    <row r="5" ht="45.75" customHeight="1" s="42">
      <c r="A5" s="66" t="n">
        <v>1</v>
      </c>
      <c r="B5" s="54" t="inlineStr">
        <is>
          <t>条目ID</t>
        </is>
      </c>
      <c r="C5" s="53" t="inlineStr">
        <is>
          <t>entry_id</t>
        </is>
      </c>
      <c r="D5" s="67" t="inlineStr">
        <is>
          <t>是</t>
        </is>
      </c>
      <c r="E5" s="54" t="inlineStr">
        <is>
          <t>文本</t>
        </is>
      </c>
      <c r="F5" s="53" t="inlineStr">
        <is>
          <t>S##-###</t>
        </is>
      </c>
      <c r="G5" s="54" t="inlineStr">
        <is>
          <t>正则 ^S\d{2}-\d{3}$;全库唯一</t>
        </is>
      </c>
      <c r="H5" s="54" t="inlineStr">
        <is>
          <t>学生编号+三位序号,如 S07-013。由录入人自行编号,组内不得重复。</t>
        </is>
      </c>
      <c r="I5" s="54" t="inlineStr">
        <is>
          <t>用了姓名拼音;序号不补零</t>
        </is>
      </c>
    </row>
    <row r="6" ht="45.75" customHeight="1" s="42">
      <c r="A6" s="66" t="n">
        <v>2</v>
      </c>
      <c r="B6" s="54" t="inlineStr">
        <is>
          <t>文件名称</t>
        </is>
      </c>
      <c r="C6" s="53" t="inlineStr">
        <is>
          <t>doc_title</t>
        </is>
      </c>
      <c r="D6" s="67" t="inlineStr">
        <is>
          <t>是</t>
        </is>
      </c>
      <c r="E6" s="54" t="inlineStr">
        <is>
          <t>文本</t>
        </is>
      </c>
      <c r="F6" s="54" t="inlineStr">
        <is>
          <t>规范全称</t>
        </is>
      </c>
      <c r="G6" s="54" t="inlineStr">
        <is>
          <t>非空;不得用简称</t>
        </is>
      </c>
      <c r="H6" s="54" t="inlineStr">
        <is>
          <t>必须写全称。机器无法把简称与全称对齐。</t>
        </is>
      </c>
      <c r="I6" s="54" t="inlineStr">
        <is>
          <t>写简称;书名号全半角混用</t>
        </is>
      </c>
    </row>
    <row r="7" ht="45.75" customHeight="1" s="42">
      <c r="A7" s="66" t="n">
        <v>3</v>
      </c>
      <c r="B7" s="54" t="inlineStr">
        <is>
          <t>文号</t>
        </is>
      </c>
      <c r="C7" s="53" t="inlineStr">
        <is>
          <t>doc_number</t>
        </is>
      </c>
      <c r="D7" s="67" t="inlineStr">
        <is>
          <t>条件必填</t>
        </is>
      </c>
      <c r="E7" s="54" t="inlineStr">
        <is>
          <t>文本</t>
        </is>
      </c>
      <c r="F7" s="54" t="inlineStr">
        <is>
          <t>〔〕六角括号;法律可不填</t>
        </is>
      </c>
      <c r="G7" s="54" t="inlineStr">
        <is>
          <t>法律位阶:可空或填「无文号」;其余位阶:非空且含年份</t>
        </is>
      </c>
      <c r="H7" s="54" t="inlineStr">
        <is>
          <t>法律用主席令号或不填;确无文号的文件明确写「无文号」,以区别于漏填。注意是〔〕不是[]。</t>
        </is>
      </c>
      <c r="I7" s="54" t="inlineStr">
        <is>
          <t>误用方括号;漏年份;漏填与无文号不分</t>
        </is>
      </c>
    </row>
    <row r="8" ht="45.75" customHeight="1" s="42">
      <c r="A8" s="66" t="n">
        <v>4</v>
      </c>
      <c r="B8" s="54" t="inlineStr">
        <is>
          <t>位阶</t>
        </is>
      </c>
      <c r="C8" s="53" t="inlineStr">
        <is>
          <t>hierarchy</t>
        </is>
      </c>
      <c r="D8" s="67" t="inlineStr">
        <is>
          <t>是</t>
        </is>
      </c>
      <c r="E8" s="54" t="inlineStr">
        <is>
          <t>枚举</t>
        </is>
      </c>
      <c r="F8" s="54" t="inlineStr">
        <is>
          <t>法律/行政法规/部门规章/地方立法/规范性文件/政策文件</t>
        </is>
      </c>
      <c r="G8" s="54" t="inlineStr">
        <is>
          <t>必须∈六个枚举值</t>
        </is>
      </c>
      <c r="H8" s="54" t="inlineStr">
        <is>
          <t>「地方立法」涵盖地方性法规与地方政府规章,录入时在备注注明具体类型。</t>
        </is>
      </c>
      <c r="I8" s="54" t="inlineStr">
        <is>
          <t>把「办法」一律当规章;地方立法内部类型不注明</t>
        </is>
      </c>
    </row>
    <row r="9" ht="45.75" customHeight="1" s="42">
      <c r="A9" s="66" t="n">
        <v>5</v>
      </c>
      <c r="B9" s="54" t="inlineStr">
        <is>
          <t>制定区域</t>
        </is>
      </c>
      <c r="C9" s="53" t="inlineStr">
        <is>
          <t>region</t>
        </is>
      </c>
      <c r="D9" s="67" t="inlineStr">
        <is>
          <t>是</t>
        </is>
      </c>
      <c r="E9" s="54" t="inlineStr">
        <is>
          <t>枚举</t>
        </is>
      </c>
      <c r="F9" s="54" t="inlineStr">
        <is>
          <t>国家/11沿海省市</t>
        </is>
      </c>
      <c r="G9" s="54" t="inlineStr">
        <is>
          <t>必须∈十二个枚举值;区域与位阶匹配(地方立法不得填「国家」,法律/行政法规/部门规章不得填省市)</t>
        </is>
      </c>
      <c r="H9" s="54" t="inlineStr">
        <is>
          <t>国家层条目填「国家」。地方层条目填省市名——这是央地比对的筛选键。</t>
        </is>
      </c>
      <c r="I9" s="54" t="inlineStr">
        <is>
          <t>地方规范误填国家;区域与位阶矛盾</t>
        </is>
      </c>
    </row>
    <row r="10" ht="45.75" customHeight="1" s="42">
      <c r="A10" s="66" t="n">
        <v>5</v>
      </c>
      <c r="B10" s="54" t="inlineStr">
        <is>
          <t>发布机关/牵头机关</t>
        </is>
      </c>
      <c r="C10" s="53" t="inlineStr">
        <is>
          <t>issuer</t>
        </is>
      </c>
      <c r="D10" s="67" t="inlineStr">
        <is>
          <t>是</t>
        </is>
      </c>
      <c r="E10" s="54" t="inlineStr">
        <is>
          <t>枚举+自由</t>
        </is>
      </c>
      <c r="F10" s="54" t="inlineStr">
        <is>
          <t>见受控词表</t>
        </is>
      </c>
      <c r="G10" s="54" t="inlineStr">
        <is>
          <t>须与位阶匹配(如部门规章不得由省政府发布)</t>
        </is>
      </c>
      <c r="H10" s="54" t="inlineStr">
        <is>
          <t>联合发文取牵头机关,其余机关写入备注。机构改革后的名称变化要注明。</t>
        </is>
      </c>
      <c r="I10" s="54" t="inlineStr">
        <is>
          <t>用改革前的旧机关名而不加注;联合发文只记一个机关且不注其余</t>
        </is>
      </c>
    </row>
    <row r="11" ht="45.75" customHeight="1" s="42">
      <c r="A11" s="66" t="n">
        <v>6</v>
      </c>
      <c r="B11" s="54" t="inlineStr">
        <is>
          <t>公布日期</t>
        </is>
      </c>
      <c r="C11" s="53" t="inlineStr">
        <is>
          <t>promulgate_date</t>
        </is>
      </c>
      <c r="D11" s="67" t="inlineStr">
        <is>
          <t>是</t>
        </is>
      </c>
      <c r="E11" s="54" t="inlineStr">
        <is>
          <t>日期</t>
        </is>
      </c>
      <c r="F11" s="53" t="inlineStr">
        <is>
          <t>YYYY-MM-DD</t>
        </is>
      </c>
      <c r="G11" s="54" t="inlineStr">
        <is>
          <t>日期格式;不晚于施行日期</t>
        </is>
      </c>
      <c r="H11" s="54" t="inlineStr">
        <is>
          <t>公布与施行常常不是同一天,分开记录。</t>
        </is>
      </c>
      <c r="I11" s="54" t="inlineStr">
        <is>
          <t>两个日期填成同一天</t>
        </is>
      </c>
    </row>
    <row r="12" ht="45.75" customHeight="1" s="42">
      <c r="A12" s="66" t="n">
        <v>7</v>
      </c>
      <c r="B12" s="54" t="inlineStr">
        <is>
          <t>施行日期</t>
        </is>
      </c>
      <c r="C12" s="53" t="inlineStr">
        <is>
          <t>effective_date</t>
        </is>
      </c>
      <c r="D12" s="67" t="inlineStr">
        <is>
          <t>是</t>
        </is>
      </c>
      <c r="E12" s="54" t="inlineStr">
        <is>
          <t>日期</t>
        </is>
      </c>
      <c r="F12" s="53" t="inlineStr">
        <is>
          <t>YYYY-MM-DD</t>
        </is>
      </c>
      <c r="G12" s="54" t="inlineStr">
        <is>
          <t>日期格式</t>
        </is>
      </c>
      <c r="H12" s="54" t="inlineStr">
        <is>
          <t>以文件本身载明的施行日为准。</t>
        </is>
      </c>
      <c r="I12" s="54" t="inlineStr">
        <is>
          <t>填成检索当天的日期</t>
        </is>
      </c>
    </row>
    <row r="13" ht="45.75" customHeight="1" s="42">
      <c r="A13" s="66" t="n">
        <v>8</v>
      </c>
      <c r="B13" s="54" t="inlineStr">
        <is>
          <t>效力状态</t>
        </is>
      </c>
      <c r="C13" s="53" t="inlineStr">
        <is>
          <t>status</t>
        </is>
      </c>
      <c r="D13" s="67" t="inlineStr">
        <is>
          <t>是</t>
        </is>
      </c>
      <c r="E13" s="54" t="inlineStr">
        <is>
          <t>枚举</t>
        </is>
      </c>
      <c r="F13" s="54" t="inlineStr">
        <is>
          <t>现行有效/已修订/已废止/尚未生效</t>
        </is>
      </c>
      <c r="G13" s="54" t="inlineStr">
        <is>
          <t>必须∈枚举;与失效日期逻辑一致</t>
        </is>
      </c>
      <c r="H13" s="54" t="inlineStr">
        <is>
          <t>「已修订」指本文本已被新版取代,必须在备注注明现行版本。</t>
        </is>
      </c>
      <c r="I13" s="54" t="inlineStr">
        <is>
          <t>把修订过的法律标为现行有效而不注版本</t>
        </is>
      </c>
    </row>
    <row r="14" ht="45.75" customHeight="1" s="42">
      <c r="A14" s="66" t="n">
        <v>9</v>
      </c>
      <c r="B14" s="54" t="inlineStr">
        <is>
          <t>失效或修订日期</t>
        </is>
      </c>
      <c r="C14" s="53" t="inlineStr">
        <is>
          <t>end_date</t>
        </is>
      </c>
      <c r="D14" s="67" t="inlineStr">
        <is>
          <t>条件必填</t>
        </is>
      </c>
      <c r="E14" s="54" t="inlineStr">
        <is>
          <t>日期</t>
        </is>
      </c>
      <c r="F14" s="53" t="inlineStr">
        <is>
          <t>YYYY-MM-DD</t>
        </is>
      </c>
      <c r="G14" s="54" t="inlineStr">
        <is>
          <t>状态非「现行有效」时必填;须晚于施行日期</t>
        </is>
      </c>
      <c r="H14" s="54" t="inlineStr">
        <is>
          <t>这是数据库最容易自相矛盾的地方,务必与状态列对照检查。</t>
        </is>
      </c>
      <c r="I14" s="54" t="inlineStr">
        <is>
          <t>状态填已废止但日期留空</t>
        </is>
      </c>
    </row>
    <row r="15" ht="45.75" customHeight="1" s="42">
      <c r="A15" s="66" t="n">
        <v>10</v>
      </c>
      <c r="B15" s="54" t="inlineStr">
        <is>
          <t>主题标签(主)</t>
        </is>
      </c>
      <c r="C15" s="53" t="inlineStr">
        <is>
          <t>topic_main</t>
        </is>
      </c>
      <c r="D15" s="67" t="inlineStr">
        <is>
          <t>是</t>
        </is>
      </c>
      <c r="E15" s="54" t="inlineStr">
        <is>
          <t>枚举</t>
        </is>
      </c>
      <c r="F15" s="54" t="inlineStr">
        <is>
          <t>九类,见受控词表标签定义表</t>
        </is>
      </c>
      <c r="G15" s="54" t="inlineStr">
        <is>
          <t>必须∈九个枚举值</t>
        </is>
      </c>
      <c r="H15" s="54" t="inlineStr">
        <is>
          <t>对应领域地图九类。一条数据只能有一个主标签。规范级标签是粗定位,条目级标签才是检索主力:同一部法律的不同条文可以打不同标签。</t>
        </is>
      </c>
      <c r="I15" s="54" t="inlineStr">
        <is>
          <t>一条数据勾了多个主题;整部法的条目全打同一标签而不看条文内容</t>
        </is>
      </c>
    </row>
    <row r="16" ht="45.75" customHeight="1" s="42">
      <c r="A16" s="66" t="n">
        <v>11</v>
      </c>
      <c r="B16" s="54" t="inlineStr">
        <is>
          <t>主题标签(次)</t>
        </is>
      </c>
      <c r="C16" s="53" t="inlineStr">
        <is>
          <t>topic_sub</t>
        </is>
      </c>
      <c r="D16" s="67" t="inlineStr">
        <is>
          <t>否</t>
        </is>
      </c>
      <c r="E16" s="54" t="inlineStr">
        <is>
          <t>枚举</t>
        </is>
      </c>
      <c r="F16" s="54" t="inlineStr">
        <is>
          <t>九类,见受控词表标签定义表</t>
        </is>
      </c>
      <c r="G16" s="54" t="inlineStr">
        <is>
          <t>∈枚举或空;不得与主标签相同</t>
        </is>
      </c>
      <c r="H16" s="54" t="inlineStr">
        <is>
          <t>跨主题条款用次标签补充,便于交叉检索。</t>
        </is>
      </c>
      <c r="I16" s="54" t="inlineStr">
        <is>
          <t>次标签与主标签重复</t>
        </is>
      </c>
    </row>
    <row r="17" ht="45.75" customHeight="1" s="42">
      <c r="A17" s="66" t="n">
        <v>12</v>
      </c>
      <c r="B17" s="54" t="inlineStr">
        <is>
          <t>条文定位</t>
        </is>
      </c>
      <c r="C17" s="53" t="inlineStr">
        <is>
          <t>provision_ref</t>
        </is>
      </c>
      <c r="D17" s="67" t="inlineStr">
        <is>
          <t>是</t>
        </is>
      </c>
      <c r="E17" s="54" t="inlineStr">
        <is>
          <t>文本</t>
        </is>
      </c>
      <c r="F17" s="54" t="inlineStr">
        <is>
          <t>第X条第X款第X项 / 第X段 / 第X项((一)(二)连续编号,政策文件)</t>
        </is>
      </c>
      <c r="G17" s="54" t="inlineStr">
        <is>
          <t>含「条」「段」或「项」;法条须精确到款项;政策文件按部分+自然段或(一)(二)项编号定位</t>
        </is>
      </c>
      <c r="H17" s="54" t="inlineStr">
        <is>
          <t>法律法规精确到款、项;政策文件无条款结构的,按「第X部分第X段」定位。定位不精确,机器无法回溯核对。政策文件业务性部分的(一)(二)…连续编号按「项」处理(仅限政策文件)。同一款/段内可用「第X句」细分。</t>
        </is>
      </c>
      <c r="I17" s="54" t="inlineStr">
        <is>
          <t>法条只写到条;政策文件不写定位;用阿拉伯数字16条</t>
        </is>
      </c>
    </row>
    <row r="18" ht="45.75" customHeight="1" s="42">
      <c r="A18" s="68" t="n">
        <v>13</v>
      </c>
      <c r="B18" s="69" t="inlineStr">
        <is>
          <t>规范主体</t>
        </is>
      </c>
      <c r="C18" s="70" t="inlineStr">
        <is>
          <t>norm_subject</t>
        </is>
      </c>
      <c r="D18" s="71" t="inlineStr">
        <is>
          <t>是</t>
        </is>
      </c>
      <c r="E18" s="69" t="inlineStr">
        <is>
          <t>文本</t>
        </is>
      </c>
      <c r="F18" s="70" t="inlineStr">
        <is>
          <t>≤30字</t>
        </is>
      </c>
      <c r="G18" s="69" t="inlineStr">
        <is>
          <t>非空</t>
        </is>
      </c>
      <c r="H18" s="69" t="inlineStr">
        <is>
          <t>谁?——权利义务的承受者。指导性规范的对象往往较抽象,如实记录并在备注说明。条文未明示主体时,结合章节归属、上下文条文与权威资料推断,并在备注注明推断依据。</t>
        </is>
      </c>
      <c r="I18" s="69" t="inlineStr">
        <is>
          <t>填成「国家」这类无实益的泛主体(指导性规范除外)</t>
        </is>
      </c>
    </row>
    <row r="19" ht="45.75" customHeight="1" s="42">
      <c r="A19" s="68" t="n">
        <v>14</v>
      </c>
      <c r="B19" s="69" t="inlineStr">
        <is>
          <t>适用条件</t>
        </is>
      </c>
      <c r="C19" s="70" t="inlineStr">
        <is>
          <t>norm_condition</t>
        </is>
      </c>
      <c r="D19" s="71" t="inlineStr">
        <is>
          <t>是</t>
        </is>
      </c>
      <c r="E19" s="69" t="inlineStr">
        <is>
          <t>文本</t>
        </is>
      </c>
      <c r="F19" s="70" t="inlineStr">
        <is>
          <t>≤80字</t>
        </is>
      </c>
      <c r="G19" s="69" t="inlineStr">
        <is>
          <t>非空</t>
        </is>
      </c>
      <c r="H19" s="69" t="inlineStr">
        <is>
          <t>在什么情况下?——假定条件。若条文无明示条件,写「一般情形」。</t>
        </is>
      </c>
      <c r="I19" s="69" t="inlineStr">
        <is>
          <t>把行为模式写进了条件里</t>
        </is>
      </c>
    </row>
    <row r="20" ht="87.75" customHeight="1" s="42">
      <c r="A20" s="68" t="n">
        <v>15</v>
      </c>
      <c r="B20" s="69" t="inlineStr">
        <is>
          <t>行为模式类型</t>
        </is>
      </c>
      <c r="C20" s="70" t="inlineStr">
        <is>
          <t>norm_type</t>
        </is>
      </c>
      <c r="D20" s="71" t="inlineStr">
        <is>
          <t>是</t>
        </is>
      </c>
      <c r="E20" s="69" t="inlineStr">
        <is>
          <t>枚举</t>
        </is>
      </c>
      <c r="F20" s="69" t="inlineStr">
        <is>
          <t>义务性/授权性/禁止性/定义性/程序性/指导性/惩罚性</t>
        </is>
      </c>
      <c r="G20" s="69" t="inlineStr">
        <is>
          <t>必须∈七个枚举值</t>
        </is>
      </c>
      <c r="H20" s="69" t="inlineStr">
        <is>
          <t>「应当」→义务性,「可以」→授权性,「不得/禁止」→禁止性。「指导性」:应当、可以等的对象较为抽象,不指向具体行为,不具备直接执行可能,可解释空间大——经济公法中大量存在,其功能是指明方向、维系并化解不确定性、为经济活动留下创造空间(多见于政策文件与规划)。「惩罚性」:法律责任章中对违法行为设定制裁的规范(违反X的,由Y处Z)——中国立法惯例将法律责任单列一章,此类条文单独标注,法律后果字段填制裁具体内容。</t>
        </is>
      </c>
      <c r="I20" s="69" t="inlineStr">
        <is>
          <t>看到「应当」就一律填义务性;把指导性误判为义务性——判断标准是有无可直接执行的具体行为</t>
        </is>
      </c>
    </row>
    <row r="21" ht="45.75" customHeight="1" s="42">
      <c r="A21" s="68" t="n">
        <v>16</v>
      </c>
      <c r="B21" s="69" t="inlineStr">
        <is>
          <t>行为模式内容</t>
        </is>
      </c>
      <c r="C21" s="70" t="inlineStr">
        <is>
          <t>norm_behavior</t>
        </is>
      </c>
      <c r="D21" s="71" t="inlineStr">
        <is>
          <t>是</t>
        </is>
      </c>
      <c r="E21" s="69" t="inlineStr">
        <is>
          <t>文本</t>
        </is>
      </c>
      <c r="F21" s="70" t="inlineStr">
        <is>
          <t>≤120字</t>
        </is>
      </c>
      <c r="G21" s="69" t="inlineStr">
        <is>
          <t>非空;须含行为动词</t>
        </is>
      </c>
      <c r="H21" s="69" t="inlineStr">
        <is>
          <t>必须/可以/禁止/倡导做什么?——用自己的话概括,不得整段复制原文。</t>
        </is>
      </c>
      <c r="I21" s="69" t="inlineStr">
        <is>
          <t>直接把原文粘过来</t>
        </is>
      </c>
    </row>
    <row r="22" ht="45.75" customHeight="1" s="42">
      <c r="A22" s="68" t="n">
        <v>17</v>
      </c>
      <c r="B22" s="69" t="inlineStr">
        <is>
          <t>法律后果</t>
        </is>
      </c>
      <c r="C22" s="70" t="inlineStr">
        <is>
          <t>norm_consequence</t>
        </is>
      </c>
      <c r="D22" s="71" t="inlineStr">
        <is>
          <t>否</t>
        </is>
      </c>
      <c r="E22" s="69" t="inlineStr">
        <is>
          <t>文本</t>
        </is>
      </c>
      <c r="F22" s="70" t="inlineStr">
        <is>
          <t>≤80字</t>
        </is>
      </c>
      <c r="G22" s="69" t="inlineStr">
        <is>
          <t>可空(定义性、指导性条款常无)</t>
        </is>
      </c>
      <c r="H22" s="69" t="inlineStr">
        <is>
          <t>违反或符合时如何?——罚则、许可、失权等。本条无载明的写「本条未设」。指导性规范通常无强制后果,这正是其特征。</t>
        </is>
      </c>
      <c r="I22" s="69" t="inlineStr">
        <is>
          <t>把别处的罚则安到本条上</t>
        </is>
      </c>
    </row>
    <row r="23" ht="45.75" customHeight="1" s="42">
      <c r="A23" s="66" t="n">
        <v>18</v>
      </c>
      <c r="B23" s="54" t="inlineStr">
        <is>
          <t>原文摘录</t>
        </is>
      </c>
      <c r="C23" s="53" t="inlineStr">
        <is>
          <t>source_text</t>
        </is>
      </c>
      <c r="D23" s="67" t="inlineStr">
        <is>
          <t>是</t>
        </is>
      </c>
      <c r="E23" s="54" t="inlineStr">
        <is>
          <t>长文本</t>
        </is>
      </c>
      <c r="F23" s="53" t="inlineStr">
        <is>
          <t>≤200字</t>
        </is>
      </c>
      <c r="G23" s="54" t="inlineStr">
        <is>
          <t>非空;字数上限;与行为模式内容相似度&lt;0.8</t>
        </is>
      </c>
      <c r="H23" s="54" t="inlineStr">
        <is>
          <t>仅供核对用,不进入检索主字段。超过200字说明你选的条文太大,应当拆分。</t>
        </is>
      </c>
      <c r="I23" s="54" t="inlineStr">
        <is>
          <t>整条整款复制,导致结构化字段形同虚设</t>
        </is>
      </c>
    </row>
    <row r="24" ht="96" customHeight="1" s="42">
      <c r="A24" s="66" t="n">
        <v>19</v>
      </c>
      <c r="B24" s="54" t="inlineStr">
        <is>
          <t>关联条目</t>
        </is>
      </c>
      <c r="C24" s="53" t="inlineStr">
        <is>
          <t>related_ids</t>
        </is>
      </c>
      <c r="D24" s="67" t="inlineStr">
        <is>
          <t>否</t>
        </is>
      </c>
      <c r="E24" s="54" t="inlineStr">
        <is>
          <t>文本</t>
        </is>
      </c>
      <c r="F24" s="54" t="inlineStr">
        <is>
          <t>逗号分隔的条目ID</t>
        </is>
      </c>
      <c r="G24" s="54" t="inlineStr">
        <is>
          <t>每个ID须在全库中存在</t>
        </is>
      </c>
      <c r="H24" s="54" t="inlineStr">
        <is>
          <t>上位法与实施细则、原则条款与罚则条款之间建立关联。注意与规范清单的「关联规范」(文件级)区分:这里是条目级关联。</t>
        </is>
      </c>
      <c r="I24" s="54" t="inlineStr">
        <is>
          <t>填了不存在的ID;用顿号分隔</t>
        </is>
      </c>
    </row>
    <row r="25" ht="96" customHeight="1" s="42">
      <c r="A25" s="66" t="n">
        <v>20</v>
      </c>
      <c r="B25" s="54" t="inlineStr">
        <is>
          <t>央地权限配置</t>
        </is>
      </c>
      <c r="C25" s="53" t="inlineStr">
        <is>
          <t>central_local_config</t>
        </is>
      </c>
      <c r="D25" s="67" t="inlineStr">
        <is>
          <t>条件必填</t>
        </is>
      </c>
      <c r="E25" s="54" t="inlineStr">
        <is>
          <t>枚举</t>
        </is>
      </c>
      <c r="F25" s="54" t="inlineStr">
        <is>
          <t>统一执行/授权细化/因地制宜/未作规定/中央专属</t>
        </is>
      </c>
      <c r="G25" s="54" t="inlineStr">
        <is>
          <t>制定区域=国家 时必填;地方条目留空</t>
        </is>
      </c>
      <c r="H25" s="54" t="inlineStr">
        <is>
          <t>本条中央规范给地方留下什么空间?统一执行=全国一体适用、地方无裁量;授权细化=明确授权地方作出具体规定(如「具体办法由省级人民政府制定」);因地制宜=允许地方选择幅度、方式、时点,含试点授权;未作规定=对地方权限沉默;中央专属=事项明示或依性质专属中央(如领海、专属经济区)。</t>
        </is>
      </c>
      <c r="I25" s="54" t="inlineStr">
        <is>
          <t>把「由县级以上人民政府执行」误判为授权细化——执行主体是地方≠地方有规定权</t>
        </is>
      </c>
    </row>
    <row r="26" ht="45.75" customHeight="1" s="42">
      <c r="A26" s="66" t="n">
        <v>21</v>
      </c>
      <c r="B26" s="54" t="inlineStr">
        <is>
          <t>地方自主权类型</t>
        </is>
      </c>
      <c r="C26" s="53" t="inlineStr">
        <is>
          <t>local_autonomy_type</t>
        </is>
      </c>
      <c r="D26" s="67" t="inlineStr">
        <is>
          <t>条件必填</t>
        </is>
      </c>
      <c r="E26" s="54" t="inlineStr">
        <is>
          <t>枚举</t>
        </is>
      </c>
      <c r="F26" s="54" t="inlineStr">
        <is>
          <t>执行性/细化性/创设性/可协商性/无权限(存疑)</t>
        </is>
      </c>
      <c r="G26" s="54" t="inlineStr">
        <is>
          <t>制定区域≠国家 时必填;国家条目留空</t>
        </is>
      </c>
      <c r="H26" s="54" t="inlineStr">
        <is>
          <t>本条地方规范相对中央权限的性质:执行性=重述或直接执行上位规范,无实质新增;细化性=在上位授权或框架内具体化标准、程序、幅度;创设性=对上位法未规定事项先行创制;可协商性=基于央地协商机制形成(试点批复、部省协议等);无权限(存疑)=涉及事项疑属中央专属或缺乏上位依据——如实记录并写明理由,这是标记疑点供课堂讨论,不是宣告违法。</t>
        </is>
      </c>
      <c r="I26" s="54" t="inlineStr">
        <is>
          <t>对存疑条款直接下越权结论;把细化误判为创设——判断标准是有无上位授权或框架</t>
        </is>
      </c>
    </row>
    <row r="27" ht="45.75" customHeight="1" s="42">
      <c r="A27" s="66" t="n">
        <v>22</v>
      </c>
      <c r="B27" s="54" t="inlineStr">
        <is>
          <t>核实来源</t>
        </is>
      </c>
      <c r="C27" s="53" t="inlineStr">
        <is>
          <t>source_db</t>
        </is>
      </c>
      <c r="D27" s="67" t="inlineStr">
        <is>
          <t>是</t>
        </is>
      </c>
      <c r="E27" s="54" t="inlineStr">
        <is>
          <t>枚举</t>
        </is>
      </c>
      <c r="F27" s="54" t="inlineStr">
        <is>
          <t>见受控词表</t>
        </is>
      </c>
      <c r="G27" s="54" t="inlineStr">
        <is>
          <t>必须∈枚举</t>
        </is>
      </c>
      <c r="H27" s="54" t="inlineStr">
        <is>
          <t>注明你在哪个权威库核对过原文。AI 检索结果不得作为来源。</t>
        </is>
      </c>
      <c r="I27" s="54" t="inlineStr">
        <is>
          <t>填AI工具名——本课红线</t>
        </is>
      </c>
    </row>
    <row r="28" ht="45.75" customHeight="1" s="42">
      <c r="A28" s="66" t="n">
        <v>23</v>
      </c>
      <c r="B28" s="54" t="inlineStr">
        <is>
          <t>录入人</t>
        </is>
      </c>
      <c r="C28" s="53" t="inlineStr">
        <is>
          <t>author</t>
        </is>
      </c>
      <c r="D28" s="67" t="inlineStr">
        <is>
          <t>是</t>
        </is>
      </c>
      <c r="E28" s="54" t="inlineStr">
        <is>
          <t>文本</t>
        </is>
      </c>
      <c r="F28" s="54" t="inlineStr">
        <is>
          <t>学号+姓名</t>
        </is>
      </c>
      <c r="G28" s="54" t="inlineStr">
        <is>
          <t>非空;与条目ID前缀一致</t>
        </is>
      </c>
      <c r="H28" s="54" t="inlineStr">
        <is>
          <t>用于评分与溯源。双人录入的规范,两人各自独立成表,不合并署名。</t>
        </is>
      </c>
      <c r="I28" s="54" t="inlineStr">
        <is>
          <t>与条目ID前缀对不上</t>
        </is>
      </c>
    </row>
    <row r="29" ht="45.75" customHeight="1" s="42">
      <c r="A29" s="66" t="n">
        <v>24</v>
      </c>
      <c r="B29" s="54" t="inlineStr">
        <is>
          <t>版本</t>
        </is>
      </c>
      <c r="C29" s="53" t="inlineStr">
        <is>
          <t>version</t>
        </is>
      </c>
      <c r="D29" s="67" t="inlineStr">
        <is>
          <t>是</t>
        </is>
      </c>
      <c r="E29" s="54" t="inlineStr">
        <is>
          <t>枚举</t>
        </is>
      </c>
      <c r="F29" s="53" t="inlineStr">
        <is>
          <t>v1/v2/定稿</t>
        </is>
      </c>
      <c r="G29" s="54" t="inlineStr">
        <is>
          <t>必须∈枚举</t>
        </is>
      </c>
      <c r="H29" s="53" t="inlineStr">
        <is>
          <t>v1 为首轮提交,v2 为校验反馈后的修订稿。</t>
        </is>
      </c>
      <c r="I29" s="54" t="inlineStr">
        <is>
          <t>修订后不改版本号</t>
        </is>
      </c>
    </row>
    <row r="30" ht="45.75" customHeight="1" s="42">
      <c r="A30" s="66" t="n">
        <v>25</v>
      </c>
      <c r="B30" s="54" t="inlineStr">
        <is>
          <t>录入日期</t>
        </is>
      </c>
      <c r="C30" s="53" t="inlineStr">
        <is>
          <t>entry_date</t>
        </is>
      </c>
      <c r="D30" s="67" t="inlineStr">
        <is>
          <t>是</t>
        </is>
      </c>
      <c r="E30" s="54" t="inlineStr">
        <is>
          <t>日期</t>
        </is>
      </c>
      <c r="F30" s="53" t="inlineStr">
        <is>
          <t>YYYY-MM-DD</t>
        </is>
      </c>
      <c r="G30" s="54" t="inlineStr">
        <is>
          <t>日期格式</t>
        </is>
      </c>
      <c r="H30" s="53" t="n"/>
      <c r="I30" s="53" t="n"/>
    </row>
    <row r="31" ht="45.75" customHeight="1" s="42">
      <c r="A31" s="66" t="n">
        <v>26</v>
      </c>
      <c r="B31" s="54" t="inlineStr">
        <is>
          <t>备注</t>
        </is>
      </c>
      <c r="C31" s="53" t="inlineStr">
        <is>
          <t>remark</t>
        </is>
      </c>
      <c r="D31" s="67" t="inlineStr">
        <is>
          <t>否</t>
        </is>
      </c>
      <c r="E31" s="54" t="inlineStr">
        <is>
          <t>文本</t>
        </is>
      </c>
      <c r="F31" s="53" t="n"/>
      <c r="G31" s="53" t="n"/>
      <c r="H31" s="54" t="inlineStr">
        <is>
          <t>版本变化、机构沿革、地方立法具体类型、存疑之处写在这里。存疑不是扣分项,隐瞒才是。</t>
        </is>
      </c>
      <c r="I31" s="53" t="n"/>
    </row>
    <row r="32"/>
    <row r="33" ht="15" customHeight="1" s="42">
      <c r="A33" s="72" t="inlineStr">
        <is>
          <t>绿色高亮的五要素字段是本课灵魂。v0.2 的重要深化:「指导性」类型让学生看到经济公法的规范特征——除确定性规则外,大量框架性规则只指明方向、无直接执行力,其功能恰恰在于为经济活动留下创造空间。建议在讲五要素的那次课上,用一条电价政策与一条海域法条文对比讲解。v0.3 新增的镜像字段对(央地权限配置↔地方自主权类型)是本库独有的分析仪器:国家层记录中央「授予了什么」,地方层记录地方「行使了什么」,期末交叉即得央地权限配置矩阵——错配本身就是发现。</t>
        </is>
      </c>
    </row>
    <row r="34" ht="15" customHeight="1" s="42"/>
    <row r="35"/>
    <row r="36"/>
    <row r="37"/>
    <row r="38"/>
    <row r="39"/>
  </sheetData>
  <mergeCells count="1">
    <mergeCell ref="A33:I3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BF8F00"/>
    <outlinePr summaryBelow="1" summaryRight="1"/>
    <pageSetUpPr fitToPage="0"/>
  </sheetPr>
  <dimension ref="A1:M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41" min="1" max="13"/>
  </cols>
  <sheetData>
    <row r="1" ht="21.6" customHeight="1" s="42">
      <c r="A1" s="43" t="inlineStr">
        <is>
          <t>受控词表 v0.5(枚举值唯一来源)</t>
        </is>
      </c>
    </row>
    <row r="2" ht="27.75" customHeight="1" s="42">
      <c r="A2" s="52" t="inlineStr">
        <is>
          <t>位阶</t>
        </is>
      </c>
      <c r="B2" s="52" t="inlineStr">
        <is>
          <t>主题标签</t>
        </is>
      </c>
      <c r="C2" s="52" t="inlineStr">
        <is>
          <t>发布机关/牵头机关</t>
        </is>
      </c>
      <c r="D2" s="52" t="inlineStr">
        <is>
          <t>行为模式类型</t>
        </is>
      </c>
      <c r="E2" s="52" t="inlineStr">
        <is>
          <t>效力状态</t>
        </is>
      </c>
      <c r="F2" s="52" t="inlineStr">
        <is>
          <t>难度等级</t>
        </is>
      </c>
      <c r="G2" s="52" t="inlineStr">
        <is>
          <t>是/否</t>
        </is>
      </c>
      <c r="H2" s="52" t="inlineStr">
        <is>
          <t>线索/核实来源</t>
        </is>
      </c>
      <c r="I2" s="52" t="inlineStr">
        <is>
          <t>版本</t>
        </is>
      </c>
      <c r="J2" s="52" t="inlineStr">
        <is>
          <t>核心程度</t>
        </is>
      </c>
      <c r="K2" s="52" t="inlineStr">
        <is>
          <t>区域</t>
        </is>
      </c>
      <c r="L2" s="52" t="inlineStr">
        <is>
          <t>央地权限配置</t>
        </is>
      </c>
      <c r="M2" s="52" t="inlineStr">
        <is>
          <t>地方自主权类型</t>
        </is>
      </c>
    </row>
    <row r="3" ht="15" customHeight="1" s="42">
      <c r="A3" s="73" t="inlineStr">
        <is>
          <t>法律</t>
        </is>
      </c>
      <c r="B3" s="73" t="inlineStr">
        <is>
          <t>规划与区划</t>
        </is>
      </c>
      <c r="C3" s="73" t="inlineStr">
        <is>
          <t>全国人大及其常委会</t>
        </is>
      </c>
      <c r="D3" s="73" t="inlineStr">
        <is>
          <t>义务性</t>
        </is>
      </c>
      <c r="E3" s="73" t="inlineStr">
        <is>
          <t>现行有效</t>
        </is>
      </c>
      <c r="F3" s="73" t="inlineStr">
        <is>
          <t>易</t>
        </is>
      </c>
      <c r="G3" s="73" t="inlineStr">
        <is>
          <t>是</t>
        </is>
      </c>
      <c r="H3" s="73" t="inlineStr">
        <is>
          <t>北大法宝</t>
        </is>
      </c>
      <c r="I3" s="74" t="inlineStr">
        <is>
          <t>v1</t>
        </is>
      </c>
      <c r="J3" s="74" t="inlineStr">
        <is>
          <t>1</t>
        </is>
      </c>
      <c r="K3" s="73" t="inlineStr">
        <is>
          <t>国家</t>
        </is>
      </c>
      <c r="L3" s="73" t="inlineStr">
        <is>
          <t>统一执行</t>
        </is>
      </c>
      <c r="M3" s="73" t="inlineStr">
        <is>
          <t>执行性</t>
        </is>
      </c>
    </row>
    <row r="4" ht="15" customHeight="1" s="42">
      <c r="A4" s="73" t="inlineStr">
        <is>
          <t>行政法规</t>
        </is>
      </c>
      <c r="B4" s="73" t="inlineStr">
        <is>
          <t>海洋空间与用海管理</t>
        </is>
      </c>
      <c r="C4" s="73" t="inlineStr">
        <is>
          <t>国务院</t>
        </is>
      </c>
      <c r="D4" s="73" t="inlineStr">
        <is>
          <t>授权性</t>
        </is>
      </c>
      <c r="E4" s="73" t="inlineStr">
        <is>
          <t>已修订</t>
        </is>
      </c>
      <c r="F4" s="73" t="inlineStr">
        <is>
          <t>中</t>
        </is>
      </c>
      <c r="G4" s="73" t="inlineStr">
        <is>
          <t>否</t>
        </is>
      </c>
      <c r="H4" s="73" t="inlineStr">
        <is>
          <t>威科先行</t>
        </is>
      </c>
      <c r="I4" s="74" t="inlineStr">
        <is>
          <t>v2</t>
        </is>
      </c>
      <c r="J4" s="74" t="inlineStr">
        <is>
          <t>2</t>
        </is>
      </c>
      <c r="K4" s="73" t="inlineStr">
        <is>
          <t>辽宁</t>
        </is>
      </c>
      <c r="L4" s="73" t="inlineStr">
        <is>
          <t>授权细化</t>
        </is>
      </c>
      <c r="M4" s="73" t="inlineStr">
        <is>
          <t>细化性</t>
        </is>
      </c>
    </row>
    <row r="5" ht="15" customHeight="1" s="42">
      <c r="A5" s="73" t="inlineStr">
        <is>
          <t>部门规章</t>
        </is>
      </c>
      <c r="B5" s="73" t="inlineStr">
        <is>
          <t>海洋可再生能源</t>
        </is>
      </c>
      <c r="C5" s="73" t="inlineStr">
        <is>
          <t>自然资源部</t>
        </is>
      </c>
      <c r="D5" s="73" t="inlineStr">
        <is>
          <t>禁止性</t>
        </is>
      </c>
      <c r="E5" s="73" t="inlineStr">
        <is>
          <t>已废止</t>
        </is>
      </c>
      <c r="F5" s="73" t="inlineStr">
        <is>
          <t>难</t>
        </is>
      </c>
      <c r="H5" s="73" t="inlineStr">
        <is>
          <t>国家法律法规数据库</t>
        </is>
      </c>
      <c r="I5" s="73" t="inlineStr">
        <is>
          <t>定稿</t>
        </is>
      </c>
      <c r="J5" s="74" t="inlineStr">
        <is>
          <t>3</t>
        </is>
      </c>
      <c r="K5" s="73" t="inlineStr">
        <is>
          <t>河北</t>
        </is>
      </c>
      <c r="L5" s="73" t="inlineStr">
        <is>
          <t>因地制宜</t>
        </is>
      </c>
      <c r="M5" s="73" t="inlineStr">
        <is>
          <t>创设性</t>
        </is>
      </c>
    </row>
    <row r="6" ht="15" customHeight="1" s="42">
      <c r="A6" s="73" t="inlineStr">
        <is>
          <t>地方立法</t>
        </is>
      </c>
      <c r="B6" s="73" t="inlineStr">
        <is>
          <t>海洋油气与矿产资源</t>
        </is>
      </c>
      <c r="C6" s="73" t="inlineStr">
        <is>
          <t>国家能源局</t>
        </is>
      </c>
      <c r="D6" s="73" t="inlineStr">
        <is>
          <t>定义性</t>
        </is>
      </c>
      <c r="E6" s="73" t="inlineStr">
        <is>
          <t>尚未生效</t>
        </is>
      </c>
      <c r="H6" s="73" t="inlineStr">
        <is>
          <t>国家行政法规数据库</t>
        </is>
      </c>
      <c r="J6" s="74" t="inlineStr">
        <is>
          <t>4</t>
        </is>
      </c>
      <c r="K6" s="73" t="inlineStr">
        <is>
          <t>天津</t>
        </is>
      </c>
      <c r="L6" s="73" t="inlineStr">
        <is>
          <t>未作规定</t>
        </is>
      </c>
      <c r="M6" s="73" t="inlineStr">
        <is>
          <t>可协商性</t>
        </is>
      </c>
    </row>
    <row r="7" ht="15" customHeight="1" s="42">
      <c r="A7" s="73" t="inlineStr">
        <is>
          <t>规范性文件</t>
        </is>
      </c>
      <c r="B7" s="73" t="inlineStr">
        <is>
          <t>能源基础设施</t>
        </is>
      </c>
      <c r="C7" s="73" t="inlineStr">
        <is>
          <t>生态环境部</t>
        </is>
      </c>
      <c r="D7" s="73" t="inlineStr">
        <is>
          <t>程序性</t>
        </is>
      </c>
      <c r="H7" s="73" t="inlineStr">
        <is>
          <t>发布机关官网</t>
        </is>
      </c>
      <c r="J7" s="74" t="inlineStr">
        <is>
          <t>5</t>
        </is>
      </c>
      <c r="K7" s="73" t="inlineStr">
        <is>
          <t>山东</t>
        </is>
      </c>
      <c r="L7" s="73" t="inlineStr">
        <is>
          <t>中央专属</t>
        </is>
      </c>
      <c r="M7" s="73" t="inlineStr">
        <is>
          <t>无权限(存疑)</t>
        </is>
      </c>
    </row>
    <row r="8" ht="15" customHeight="1" s="42">
      <c r="A8" s="73" t="inlineStr">
        <is>
          <t>政策文件</t>
        </is>
      </c>
      <c r="B8" s="73" t="inlineStr">
        <is>
          <t>价格、财税与市场机制</t>
        </is>
      </c>
      <c r="C8" s="73" t="inlineStr">
        <is>
          <t>国家发展改革委</t>
        </is>
      </c>
      <c r="D8" s="73" t="inlineStr">
        <is>
          <t>指导性</t>
        </is>
      </c>
      <c r="H8" s="73" t="inlineStr">
        <is>
          <t>其他</t>
        </is>
      </c>
      <c r="K8" s="73" t="inlineStr">
        <is>
          <t>江苏</t>
        </is>
      </c>
    </row>
    <row r="9" ht="15" customHeight="1" s="42">
      <c r="B9" s="73" t="inlineStr">
        <is>
          <t>生态环境与海岛保护</t>
        </is>
      </c>
      <c r="C9" s="73" t="inlineStr">
        <is>
          <t>财政部</t>
        </is>
      </c>
      <c r="D9" s="75" t="inlineStr">
        <is>
          <t>惩罚性</t>
        </is>
      </c>
      <c r="K9" s="73" t="inlineStr">
        <is>
          <t>浙江</t>
        </is>
      </c>
    </row>
    <row r="10" ht="15" customHeight="1" s="42">
      <c r="B10" s="73" t="inlineStr">
        <is>
          <t>海洋权益与涉外事务</t>
        </is>
      </c>
      <c r="C10" s="73" t="inlineStr">
        <is>
          <t>交通运输部</t>
        </is>
      </c>
      <c r="K10" s="73" t="inlineStr">
        <is>
          <t>上海</t>
        </is>
      </c>
    </row>
    <row r="11" ht="15" customHeight="1" s="42">
      <c r="B11" s="73" t="inlineStr">
        <is>
          <t>海洋观测与数据统计</t>
        </is>
      </c>
      <c r="C11" s="73" t="inlineStr">
        <is>
          <t>农业农村部</t>
        </is>
      </c>
      <c r="K11" s="73" t="inlineStr">
        <is>
          <t>福建</t>
        </is>
      </c>
    </row>
    <row r="12" ht="15" customHeight="1" s="42">
      <c r="C12" s="73" t="inlineStr">
        <is>
          <t>国家海洋局(已并入自然资源部)</t>
        </is>
      </c>
      <c r="K12" s="73" t="inlineStr">
        <is>
          <t>广东</t>
        </is>
      </c>
    </row>
    <row r="13" ht="29.85" customHeight="1" s="42">
      <c r="C13" s="73" t="inlineStr">
        <is>
          <t>国土资源部（已并入自然资源部）</t>
        </is>
      </c>
      <c r="K13" s="73" t="inlineStr">
        <is>
          <t>广西</t>
        </is>
      </c>
    </row>
    <row r="14" ht="15" customHeight="1" s="42">
      <c r="C14" s="73" t="inlineStr">
        <is>
          <t>省级人大及其常委会</t>
        </is>
      </c>
      <c r="K14" s="73" t="inlineStr">
        <is>
          <t>海南</t>
        </is>
      </c>
    </row>
    <row r="15" ht="15" customHeight="1" s="42">
      <c r="C15" s="73" t="inlineStr">
        <is>
          <t>省级人民政府</t>
        </is>
      </c>
    </row>
    <row r="16" ht="15" customHeight="1" s="42">
      <c r="C16" s="73" t="inlineStr">
        <is>
          <t>省级主管部门</t>
        </is>
      </c>
    </row>
    <row r="17" ht="15" customHeight="1" s="42">
      <c r="C17" s="73" t="inlineStr">
        <is>
          <t>其他</t>
        </is>
      </c>
    </row>
    <row r="21" ht="17.15" customHeight="1" s="42">
      <c r="A21" s="47" t="inlineStr">
        <is>
          <t>主题标签定义表(九类)</t>
        </is>
      </c>
    </row>
    <row r="22" ht="15" customHeight="1" s="42">
      <c r="A22" s="52" t="inlineStr">
        <is>
          <t>标签</t>
        </is>
      </c>
      <c r="B22" s="52" t="inlineStr">
        <is>
          <t>覆盖范围</t>
        </is>
      </c>
      <c r="C22" s="52" t="inlineStr">
        <is>
          <t>典型文件(来自本清单)</t>
        </is>
      </c>
    </row>
    <row r="23" ht="33.75" customHeight="1" s="42">
      <c r="A23" s="76" t="inlineStr">
        <is>
          <t>规划与区划</t>
        </is>
      </c>
      <c r="B23" s="77" t="inlineStr">
        <is>
          <t>发展规划、专项规划、功能区划、区划批复及规划法制</t>
        </is>
      </c>
      <c r="C23" s="54" t="inlineStr">
        <is>
          <t>国家发展规划法;全国海洋主体功能区规划;各省海洋功能区划批复;可再生能源发展“十五五”规划</t>
        </is>
      </c>
    </row>
    <row r="24" ht="33.75" customHeight="1" s="42">
      <c r="A24" s="76" t="inlineStr">
        <is>
          <t>海洋空间与用海管理</t>
        </is>
      </c>
      <c r="B24" s="77" t="inlineStr">
        <is>
          <t>海域使用权取得、审批、论证、立体分层设权、临时用海、用海要素保障</t>
        </is>
      </c>
      <c r="C24" s="54" t="inlineStr">
        <is>
          <t>海域使用管理法;临时用海管理办法;海域立体分层设权通知</t>
        </is>
      </c>
    </row>
    <row r="25" ht="33.75" customHeight="1" s="42">
      <c r="A25" s="76" t="inlineStr">
        <is>
          <t>海洋可再生能源</t>
        </is>
      </c>
      <c r="B25" s="77" t="inlineStr">
        <is>
          <t>海上风电、海洋能(潮流能、波浪能等)的开发利用与产业促进</t>
        </is>
      </c>
      <c r="C25" s="54" t="inlineStr">
        <is>
          <t>可再生能源法;海上风电开发建设管理办法;推动海洋能规模化利用的指导意见</t>
        </is>
      </c>
    </row>
    <row r="26" ht="33.75" customHeight="1" s="42">
      <c r="A26" s="76" t="inlineStr">
        <is>
          <t>海洋油气与矿产资源</t>
        </is>
      </c>
      <c r="B26" s="77" t="inlineStr">
        <is>
          <t>海洋石油天然气、海砂、深海海底矿产的勘探开发</t>
        </is>
      </c>
      <c r="C26" s="54" t="inlineStr">
        <is>
          <t>对外合作开采海洋石油资源条例;深海海底区域资源勘探开发法;海砂两权合一通知</t>
        </is>
      </c>
    </row>
    <row r="27" ht="33.75" customHeight="1" s="42">
      <c r="A27" s="76" t="inlineStr">
        <is>
          <t>能源基础设施</t>
        </is>
      </c>
      <c r="B27" s="77" t="inlineStr">
        <is>
          <t>电网与并网消纳、海底电缆与油气管线、氢能与储能等输送转化设施——电只是海洋能源的转化方向之一,管线承载油气、氢、淡化水等多种形态</t>
        </is>
      </c>
      <c r="C27" s="54" t="inlineStr">
        <is>
          <t>电力法;铺设海底电缆管道管理规定;新能源消纳和调控指导意见</t>
        </is>
      </c>
    </row>
    <row r="28" ht="33.75" customHeight="1" s="42">
      <c r="A28" s="76" t="inlineStr">
        <is>
          <t>价格、财税与市场机制</t>
        </is>
      </c>
      <c r="B28" s="77" t="inlineStr">
        <is>
          <t>上网电价、海域使用金、财税措施、绿证等市场工具</t>
        </is>
      </c>
      <c r="C28" s="54" t="inlineStr">
        <is>
          <t>海上风电上网电价通知;海域使用金征收标准;绿证市场高质量发展意见</t>
        </is>
      </c>
    </row>
    <row r="29" ht="33.75" customHeight="1" s="42">
      <c r="A29" s="76" t="inlineStr">
        <is>
          <t>生态环境与海岛保护</t>
        </is>
      </c>
      <c r="B29" s="77" t="inlineStr">
        <is>
          <t>海洋生态环境保护、污染防治、海岛保护</t>
        </is>
      </c>
      <c r="C29" s="54" t="inlineStr">
        <is>
          <t>生态环境法典;防治海洋工程污染条例;海岛保护法</t>
        </is>
      </c>
    </row>
    <row r="30" ht="33.75" customHeight="1" s="42">
      <c r="A30" s="76" t="inlineStr">
        <is>
          <t>海洋权益与涉外事务</t>
        </is>
      </c>
      <c r="B30" s="77" t="inlineStr">
        <is>
          <t>领海、专属经济区、大陆架、涉外合作与主权权益</t>
        </is>
      </c>
      <c r="C30" s="54" t="inlineStr">
        <is>
          <t>联合国海洋法公约;专属经济区和大陆架法;涉外海洋科学研究管理规定</t>
        </is>
      </c>
    </row>
    <row r="31" ht="33.75" customHeight="1" s="42">
      <c r="A31" s="76" t="inlineStr">
        <is>
          <t>海洋观测与数据统计</t>
        </is>
      </c>
      <c r="B31" s="77" t="inlineStr">
        <is>
          <t>海洋观测预报、观测站点与资料、海洋经济统计核算</t>
        </is>
      </c>
      <c r="C31" s="54" t="inlineStr">
        <is>
          <t>海洋观测预报管理条例;海洋观测资料管理办法;海洋经济统计调查制度</t>
        </is>
      </c>
    </row>
    <row r="33" ht="15" customHeight="1" s="42">
      <c r="A33" s="72" t="inlineStr">
        <is>
          <t>边界规则:①标签按对象划分,规范功能由条目级「行为模式类型」承担 ②综合性法律(如能源法)的文件级标签只做粗定位,真正的检索靠条目级标签 ③安全类规范暂不独立设标签(现仅海上交通安全法1部,归入海洋空间与用海管理),地方立法补充后若安全类规范增多,再增设「安全与应急」。</t>
        </is>
      </c>
    </row>
    <row r="34" ht="15" customHeight="1" s="42"/>
    <row r="35" ht="17.15" customHeight="1" s="42">
      <c r="A35" s="47" t="inlineStr">
        <is>
          <t>镜像字段对定义表(v0.3):央地权限配置(国家层)↔ 地方自主权类型(地方层)</t>
        </is>
      </c>
    </row>
    <row r="36" ht="15" customHeight="1" s="42">
      <c r="A36" s="52" t="inlineStr">
        <is>
          <t>国家层取值</t>
        </is>
      </c>
      <c r="B36" s="52" t="inlineStr">
        <is>
          <t>含义</t>
        </is>
      </c>
      <c r="C36" s="52" t="inlineStr">
        <is>
          <t>地方层取值</t>
        </is>
      </c>
      <c r="D36" s="52" t="inlineStr">
        <is>
          <t>含义</t>
        </is>
      </c>
    </row>
    <row r="37" ht="31.5" customHeight="1" s="42">
      <c r="A37" s="76" t="inlineStr">
        <is>
          <t>统一执行</t>
        </is>
      </c>
      <c r="B37" s="54" t="inlineStr">
        <is>
          <t>中央:全国一体适用,地方仅负执行之责,无裁量空间</t>
        </is>
      </c>
      <c r="C37" s="76" t="inlineStr">
        <is>
          <t>执行性</t>
        </is>
      </c>
      <c r="D37" s="54" t="inlineStr">
        <is>
          <t>地方:重述或直接执行上位规范,无实质新增内容</t>
        </is>
      </c>
    </row>
    <row r="38" ht="31.5" customHeight="1" s="42">
      <c r="A38" s="76" t="inlineStr">
        <is>
          <t>授权细化</t>
        </is>
      </c>
      <c r="B38" s="54" t="inlineStr">
        <is>
          <t>中央:明确授权地方作出具体规定</t>
        </is>
      </c>
      <c r="C38" s="76" t="inlineStr">
        <is>
          <t>细化性</t>
        </is>
      </c>
      <c r="D38" s="54" t="inlineStr">
        <is>
          <t>地方:在上位授权或框架内具体化标准、程序、幅度</t>
        </is>
      </c>
    </row>
    <row r="39" ht="31.5" customHeight="1" s="42">
      <c r="A39" s="76" t="inlineStr">
        <is>
          <t>因地制宜</t>
        </is>
      </c>
      <c r="B39" s="54" t="inlineStr">
        <is>
          <t>中央:允许地方选择幅度、方式、时点,含试点授权</t>
        </is>
      </c>
      <c r="C39" s="76" t="inlineStr">
        <is>
          <t>创设性</t>
        </is>
      </c>
      <c r="D39" s="54" t="inlineStr">
        <is>
          <t>地方:对上位法未规定事项先行创制</t>
        </is>
      </c>
    </row>
    <row r="40" ht="31.5" customHeight="1" s="42">
      <c r="A40" s="76" t="inlineStr">
        <is>
          <t>未作规定</t>
        </is>
      </c>
      <c r="B40" s="54" t="inlineStr">
        <is>
          <t>中央:对地方权限保持沉默</t>
        </is>
      </c>
      <c r="C40" s="76" t="inlineStr">
        <is>
          <t>可协商性</t>
        </is>
      </c>
      <c r="D40" s="54" t="inlineStr">
        <is>
          <t>地方:基于央地协商机制形成(试点批复、部省协议等)</t>
        </is>
      </c>
    </row>
    <row r="41" ht="31.5" customHeight="1" s="42">
      <c r="A41" s="76" t="inlineStr">
        <is>
          <t>中央专属</t>
        </is>
      </c>
      <c r="B41" s="54" t="inlineStr">
        <is>
          <t>中央:事项明示或依性质专属中央</t>
        </is>
      </c>
      <c r="C41" s="76" t="inlineStr">
        <is>
          <t>无权限(存疑)</t>
        </is>
      </c>
      <c r="D41" s="54" t="inlineStr">
        <is>
          <t>地方:疑属中央专属或缺上位依据——标记疑点,不下违法结论</t>
        </is>
      </c>
    </row>
    <row r="43" ht="15" customHeight="1" s="42">
      <c r="A43" s="72" t="inlineStr">
        <is>
          <t>注意:两列取值并非一一对应关系,同行仅为排版。分析时做的是交叉矩阵:例如中央「授权细化」×地方「创设性」=疑似越界;中央「未作规定」×地方「创设性」=先行先试空间。期末由两班数据交叉计算。</t>
        </is>
      </c>
    </row>
    <row r="44" ht="15" customHeight="1" s="42"/>
  </sheetData>
  <mergeCells count="2">
    <mergeCell ref="A33:C34"/>
    <mergeCell ref="A43:D4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7030A0"/>
    <outlinePr summaryBelow="1" summaryRight="1"/>
    <pageSetUpPr fitToPage="0"/>
  </sheetPr>
  <dimension ref="A1:AA11"/>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20" customWidth="1" style="41" min="1" max="27"/>
  </cols>
  <sheetData>
    <row r="1" ht="21.6" customHeight="1" s="42">
      <c r="A1" s="50" t="inlineStr">
        <is>
          <t>Day2 · 示范条目 v0.5(满分 / 错误 / 边界 / 指导性 / 地方层示意)</t>
        </is>
      </c>
    </row>
    <row r="2" ht="15" customHeight="1" s="42">
      <c r="A2" s="51" t="inlineStr">
        <is>
          <t>新增第4行(蓝色):政策文件+指导性+段落定位的示范。条文内容须回权威数据库核实后再用于教学。</t>
        </is>
      </c>
    </row>
    <row r="3"/>
    <row r="4" ht="31.5" customHeight="1" s="42">
      <c r="A4" s="52" t="inlineStr">
        <is>
          <t>条目ID</t>
        </is>
      </c>
      <c r="B4" s="52" t="inlineStr">
        <is>
          <t>文件名称</t>
        </is>
      </c>
      <c r="C4" s="52" t="inlineStr">
        <is>
          <t>文号</t>
        </is>
      </c>
      <c r="D4" s="52" t="inlineStr">
        <is>
          <t>位阶</t>
        </is>
      </c>
      <c r="E4" s="52" t="inlineStr">
        <is>
          <t>制定区域</t>
        </is>
      </c>
      <c r="F4" s="52" t="inlineStr">
        <is>
          <t>发布机关/牵头机关</t>
        </is>
      </c>
      <c r="G4" s="52" t="inlineStr">
        <is>
          <t>公布日期</t>
        </is>
      </c>
      <c r="H4" s="52" t="inlineStr">
        <is>
          <t>施行日期</t>
        </is>
      </c>
      <c r="I4" s="52" t="inlineStr">
        <is>
          <t>效力状态</t>
        </is>
      </c>
      <c r="J4" s="52" t="inlineStr">
        <is>
          <t>失效或修订日期</t>
        </is>
      </c>
      <c r="K4" s="52" t="inlineStr">
        <is>
          <t>主题标签(主)</t>
        </is>
      </c>
      <c r="L4" s="52" t="inlineStr">
        <is>
          <t>主题标签(次)</t>
        </is>
      </c>
      <c r="M4" s="52" t="inlineStr">
        <is>
          <t>条文定位</t>
        </is>
      </c>
      <c r="N4" s="52" t="inlineStr">
        <is>
          <t>规范主体</t>
        </is>
      </c>
      <c r="O4" s="52" t="inlineStr">
        <is>
          <t>适用条件</t>
        </is>
      </c>
      <c r="P4" s="52" t="inlineStr">
        <is>
          <t>行为模式类型</t>
        </is>
      </c>
      <c r="Q4" s="52" t="inlineStr">
        <is>
          <t>行为模式内容</t>
        </is>
      </c>
      <c r="R4" s="52" t="inlineStr">
        <is>
          <t>法律后果</t>
        </is>
      </c>
      <c r="S4" s="52" t="inlineStr">
        <is>
          <t>原文摘录</t>
        </is>
      </c>
      <c r="T4" s="52" t="inlineStr">
        <is>
          <t>关联条目</t>
        </is>
      </c>
      <c r="U4" s="52" t="inlineStr">
        <is>
          <t>央地权限配置</t>
        </is>
      </c>
      <c r="V4" s="52" t="inlineStr">
        <is>
          <t>地方自主权类型</t>
        </is>
      </c>
      <c r="W4" s="52" t="inlineStr">
        <is>
          <t>核实来源</t>
        </is>
      </c>
      <c r="X4" s="52" t="inlineStr">
        <is>
          <t>录入人</t>
        </is>
      </c>
      <c r="Y4" s="52" t="inlineStr">
        <is>
          <t>版本</t>
        </is>
      </c>
      <c r="Z4" s="52" t="inlineStr">
        <is>
          <t>录入日期</t>
        </is>
      </c>
      <c r="AA4" s="52" t="inlineStr">
        <is>
          <t>备注</t>
        </is>
      </c>
    </row>
    <row r="5" ht="96" customHeight="1" s="42">
      <c r="A5" s="70" t="inlineStr">
        <is>
          <t>S07-001</t>
        </is>
      </c>
      <c r="B5" s="69" t="inlineStr">
        <is>
          <t>中华人民共和国海域使用管理法</t>
        </is>
      </c>
      <c r="C5" s="69" t="inlineStr">
        <is>
          <t>主席令第六十一号</t>
        </is>
      </c>
      <c r="D5" s="69" t="inlineStr">
        <is>
          <t>法律</t>
        </is>
      </c>
      <c r="E5" s="69" t="inlineStr">
        <is>
          <t>国家</t>
        </is>
      </c>
      <c r="F5" s="69" t="inlineStr">
        <is>
          <t>全国人大及其常委会</t>
        </is>
      </c>
      <c r="G5" s="70" t="inlineStr">
        <is>
          <t>2001-10-27</t>
        </is>
      </c>
      <c r="H5" s="70" t="inlineStr">
        <is>
          <t>2002-01-01</t>
        </is>
      </c>
      <c r="I5" s="69" t="inlineStr">
        <is>
          <t>现行有效</t>
        </is>
      </c>
      <c r="J5" s="70" t="n"/>
      <c r="K5" s="69" t="inlineStr">
        <is>
          <t>海洋空间与用海管理</t>
        </is>
      </c>
      <c r="L5" s="70" t="n"/>
      <c r="M5" s="69" t="inlineStr">
        <is>
          <t>第十六条第一款</t>
        </is>
      </c>
      <c r="N5" s="69" t="inlineStr">
        <is>
          <t>单位和个人(海域使用申请人)</t>
        </is>
      </c>
      <c r="O5" s="69" t="inlineStr">
        <is>
          <t>拟使用未确定使用权的海域</t>
        </is>
      </c>
      <c r="P5" s="69" t="inlineStr">
        <is>
          <t>程序性</t>
        </is>
      </c>
      <c r="Q5" s="69" t="inlineStr">
        <is>
          <t>向县级以上人民政府海洋行政主管部门提出用海申请,并提交规定的申请材料</t>
        </is>
      </c>
      <c r="R5" s="69" t="inlineStr">
        <is>
          <t>本条未设</t>
        </is>
      </c>
      <c r="S5" s="69" t="inlineStr">
        <is>
          <t>【核实后填入不超过200字的原文】</t>
        </is>
      </c>
      <c r="T5" s="70" t="inlineStr">
        <is>
          <t>S07-004</t>
        </is>
      </c>
      <c r="U5" s="69" t="inlineStr">
        <is>
          <t>统一执行</t>
        </is>
      </c>
      <c r="V5" s="70" t="n"/>
      <c r="W5" s="69" t="inlineStr">
        <is>
          <t>国家法律法规数据库</t>
        </is>
      </c>
      <c r="X5" s="70" t="inlineStr">
        <is>
          <t>2023001 张三</t>
        </is>
      </c>
      <c r="Y5" s="70" t="inlineStr">
        <is>
          <t>v1</t>
        </is>
      </c>
      <c r="Z5" s="70" t="inlineStr">
        <is>
          <t>2026-08-20</t>
        </is>
      </c>
      <c r="AA5" s="69" t="inlineStr">
        <is>
          <t>满分示范:审批程序全国一体,县级以上地方机关是执行主体而非规定权主体,故央地权限配置=统一执行</t>
        </is>
      </c>
    </row>
    <row r="6" ht="96" customHeight="1" s="42">
      <c r="A6" s="78" t="inlineStr">
        <is>
          <t>s7-2</t>
        </is>
      </c>
      <c r="B6" s="79" t="inlineStr">
        <is>
          <t>《海域法》</t>
        </is>
      </c>
      <c r="C6" s="78" t="n"/>
      <c r="D6" s="79" t="inlineStr">
        <is>
          <t>法律</t>
        </is>
      </c>
      <c r="E6" s="79" t="inlineStr">
        <is>
          <t>国家</t>
        </is>
      </c>
      <c r="F6" s="79" t="inlineStr">
        <is>
          <t>国家海洋局</t>
        </is>
      </c>
      <c r="G6" s="78" t="inlineStr">
        <is>
          <t>2002</t>
        </is>
      </c>
      <c r="H6" s="78" t="inlineStr">
        <is>
          <t>2002</t>
        </is>
      </c>
      <c r="I6" s="79" t="inlineStr">
        <is>
          <t>现行有效</t>
        </is>
      </c>
      <c r="J6" s="78" t="n"/>
      <c r="K6" s="79" t="inlineStr">
        <is>
          <t>海洋空间与用海管理、规划与区划</t>
        </is>
      </c>
      <c r="L6" s="79" t="inlineStr">
        <is>
          <t>海洋空间与用海管理</t>
        </is>
      </c>
      <c r="M6" s="79" t="inlineStr">
        <is>
          <t>第十六条</t>
        </is>
      </c>
      <c r="N6" s="79" t="inlineStr">
        <is>
          <t>国家</t>
        </is>
      </c>
      <c r="O6" s="78" t="inlineStr">
        <is>
          <t>/</t>
        </is>
      </c>
      <c r="P6" s="79" t="inlineStr">
        <is>
          <t>义务性</t>
        </is>
      </c>
      <c r="Q6" s="79" t="inlineStr">
        <is>
          <t>单位和个人使用海域,必须依法取得海域使用权(直接复制原文)</t>
        </is>
      </c>
      <c r="R6" s="78" t="n"/>
      <c r="S6" s="79" t="inlineStr">
        <is>
          <t>【整条原文800字全部粘贴】</t>
        </is>
      </c>
      <c r="T6" s="78" t="inlineStr">
        <is>
          <t>S07-4、S07-5</t>
        </is>
      </c>
      <c r="U6" s="78" t="n"/>
      <c r="V6" s="79" t="inlineStr">
        <is>
          <t>执行性</t>
        </is>
      </c>
      <c r="W6" s="79" t="inlineStr">
        <is>
          <t>豆包</t>
        </is>
      </c>
      <c r="X6" s="79" t="inlineStr">
        <is>
          <t>张三</t>
        </is>
      </c>
      <c r="Y6" s="78" t="n"/>
      <c r="Z6" s="78" t="n"/>
      <c r="AA6" s="79" t="inlineStr">
        <is>
          <t>错误示范:除v0.2所列各错外,新增两错——国家层条目误填地方自主权类型、漏填央地权限配置</t>
        </is>
      </c>
    </row>
    <row r="7" ht="96" customHeight="1" s="42">
      <c r="A7" s="80" t="inlineStr">
        <is>
          <t>S07-002</t>
        </is>
      </c>
      <c r="B7" s="81" t="inlineStr">
        <is>
          <t>中华人民共和国可再生能源法(2005年版)</t>
        </is>
      </c>
      <c r="C7" s="81" t="inlineStr">
        <is>
          <t>主席令第二十三号</t>
        </is>
      </c>
      <c r="D7" s="81" t="inlineStr">
        <is>
          <t>法律</t>
        </is>
      </c>
      <c r="E7" s="81" t="inlineStr">
        <is>
          <t>国家</t>
        </is>
      </c>
      <c r="F7" s="81" t="inlineStr">
        <is>
          <t>全国人大及其常委会</t>
        </is>
      </c>
      <c r="G7" s="80" t="inlineStr">
        <is>
          <t>2005-02-28</t>
        </is>
      </c>
      <c r="H7" s="80" t="inlineStr">
        <is>
          <t>2006-01-01</t>
        </is>
      </c>
      <c r="I7" s="81" t="inlineStr">
        <is>
          <t>已修订</t>
        </is>
      </c>
      <c r="J7" s="80" t="inlineStr">
        <is>
          <t>2009-12-26</t>
        </is>
      </c>
      <c r="K7" s="81" t="inlineStr">
        <is>
          <t>海洋可再生能源</t>
        </is>
      </c>
      <c r="L7" s="81" t="inlineStr">
        <is>
          <t>价格、财税与市场机制</t>
        </is>
      </c>
      <c r="M7" s="81" t="inlineStr">
        <is>
          <t>第十四条</t>
        </is>
      </c>
      <c r="N7" s="81" t="inlineStr">
        <is>
          <t>电网企业</t>
        </is>
      </c>
      <c r="O7" s="81" t="inlineStr">
        <is>
          <t>可再生能源发电项目已依法取得行政许可并接入电网</t>
        </is>
      </c>
      <c r="P7" s="81" t="inlineStr">
        <is>
          <t>义务性</t>
        </is>
      </c>
      <c r="Q7" s="81" t="inlineStr">
        <is>
          <t>全额收购其电网覆盖范围内可再生能源并网发电项目的上网电量</t>
        </is>
      </c>
      <c r="R7" s="81" t="inlineStr">
        <is>
          <t>未履行收购义务造成损失的应当承担赔偿责任</t>
        </is>
      </c>
      <c r="S7" s="81" t="inlineStr">
        <is>
          <t>【核实后填入不超过200字的原文】</t>
        </is>
      </c>
      <c r="T7" s="80" t="inlineStr">
        <is>
          <t>S07-003</t>
        </is>
      </c>
      <c r="U7" s="81" t="inlineStr">
        <is>
          <t>未作规定</t>
        </is>
      </c>
      <c r="V7" s="80" t="n"/>
      <c r="W7" s="81" t="inlineStr">
        <is>
          <t>国家法律法规数据库</t>
        </is>
      </c>
      <c r="X7" s="80" t="inlineStr">
        <is>
          <t>2023001 张三</t>
        </is>
      </c>
      <c r="Y7" s="80" t="inlineStr">
        <is>
          <t>v1</t>
        </is>
      </c>
      <c r="Z7" s="80" t="inlineStr">
        <is>
          <t>2026-08-20</t>
        </is>
      </c>
      <c r="AA7" s="81" t="inlineStr">
        <is>
          <t>边界情况:规范对象是电网企业,对地方权限沉默,故央地权限配置=未作规定——与ex1的「统一执行」对比讲解</t>
        </is>
      </c>
    </row>
    <row r="8" ht="96" customHeight="1" s="42">
      <c r="A8" s="82" t="inlineStr">
        <is>
          <t>S07-003</t>
        </is>
      </c>
      <c r="B8" s="83" t="inlineStr">
        <is>
          <t>关于推动海洋能规模化利用的指导意见</t>
        </is>
      </c>
      <c r="C8" s="83" t="inlineStr">
        <is>
          <t>自然资发〔2025〕34号</t>
        </is>
      </c>
      <c r="D8" s="83" t="inlineStr">
        <is>
          <t>政策文件</t>
        </is>
      </c>
      <c r="E8" s="83" t="inlineStr">
        <is>
          <t>国家</t>
        </is>
      </c>
      <c r="F8" s="83" t="inlineStr">
        <is>
          <t>自然资源部</t>
        </is>
      </c>
      <c r="G8" s="82" t="inlineStr">
        <is>
          <t>2025-02-05</t>
        </is>
      </c>
      <c r="H8" s="82" t="inlineStr">
        <is>
          <t>2025-02-05</t>
        </is>
      </c>
      <c r="I8" s="83" t="inlineStr">
        <is>
          <t>现行有效</t>
        </is>
      </c>
      <c r="J8" s="82" t="n"/>
      <c r="K8" s="83" t="inlineStr">
        <is>
          <t>海洋可再生能源</t>
        </is>
      </c>
      <c r="L8" s="83" t="inlineStr">
        <is>
          <t>规划与区划</t>
        </is>
      </c>
      <c r="M8" s="83" t="inlineStr">
        <is>
          <t>第二部分第1段</t>
        </is>
      </c>
      <c r="N8" s="83" t="inlineStr">
        <is>
          <t>沿海地方政府及海洋能开发企业(抽象对象)</t>
        </is>
      </c>
      <c r="O8" s="83" t="inlineStr">
        <is>
          <t>一般情形</t>
        </is>
      </c>
      <c r="P8" s="83" t="inlineStr">
        <is>
          <t>指导性</t>
        </is>
      </c>
      <c r="Q8" s="83" t="inlineStr">
        <is>
          <t>鼓励因地制宜开展潮流能、波浪能示范工程,探索海洋能与海上风电协同开发(方向性倡导,示例表述,以核实原文为准)</t>
        </is>
      </c>
      <c r="R8" s="83" t="inlineStr">
        <is>
          <t>本条未设</t>
        </is>
      </c>
      <c r="S8" s="83" t="inlineStr">
        <is>
          <t>【核实后填入不超过200字的原文】</t>
        </is>
      </c>
      <c r="T8" s="82" t="n"/>
      <c r="U8" s="83" t="inlineStr">
        <is>
          <t>因地制宜</t>
        </is>
      </c>
      <c r="V8" s="82" t="n"/>
      <c r="W8" s="83" t="inlineStr">
        <is>
          <t>发布机关官网</t>
        </is>
      </c>
      <c r="X8" s="82" t="inlineStr">
        <is>
          <t>2023001 张三</t>
        </is>
      </c>
      <c r="Y8" s="82" t="inlineStr">
        <is>
          <t>v1</t>
        </is>
      </c>
      <c r="Z8" s="82" t="inlineStr">
        <is>
          <t>2026-08-20</t>
        </is>
      </c>
      <c r="AA8" s="83" t="inlineStr">
        <is>
          <t>指导性示范:「鼓励因地制宜」即典型的因地制宜型央地配置——指导性行为模式与因地制宜配置高频共现</t>
        </is>
      </c>
    </row>
    <row r="9" ht="96" customHeight="1" s="42">
      <c r="A9" s="84" t="inlineStr">
        <is>
          <t>L45-001</t>
        </is>
      </c>
      <c r="B9" s="85" t="inlineStr">
        <is>
          <t>【示意】某沿海省海上风电项目竞争配置管理办法</t>
        </is>
      </c>
      <c r="C9" s="84" t="inlineStr">
        <is>
          <t>(待核实)</t>
        </is>
      </c>
      <c r="D9" s="85" t="inlineStr">
        <is>
          <t>地方立法</t>
        </is>
      </c>
      <c r="E9" s="85" t="inlineStr">
        <is>
          <t>广西</t>
        </is>
      </c>
      <c r="F9" s="85" t="inlineStr">
        <is>
          <t>省级主管部门</t>
        </is>
      </c>
      <c r="G9" s="84" t="inlineStr">
        <is>
          <t>(待核实)</t>
        </is>
      </c>
      <c r="H9" s="84" t="inlineStr">
        <is>
          <t>(待核实)</t>
        </is>
      </c>
      <c r="I9" s="85" t="inlineStr">
        <is>
          <t>现行有效</t>
        </is>
      </c>
      <c r="J9" s="84" t="n"/>
      <c r="K9" s="85" t="inlineStr">
        <is>
          <t>海洋可再生能源</t>
        </is>
      </c>
      <c r="L9" s="85" t="inlineStr">
        <is>
          <t>价格、财税与市场机制</t>
        </is>
      </c>
      <c r="M9" s="85" t="inlineStr">
        <is>
          <t>第八条第二款</t>
        </is>
      </c>
      <c r="N9" s="85" t="inlineStr">
        <is>
          <t>省能源主管部门</t>
        </is>
      </c>
      <c r="O9" s="85" t="inlineStr">
        <is>
          <t>组织年度海上风电项目竞争配置</t>
        </is>
      </c>
      <c r="P9" s="85" t="inlineStr">
        <is>
          <t>程序性</t>
        </is>
      </c>
      <c r="Q9" s="85" t="inlineStr">
        <is>
          <t>将上网电价报价纳入竞争配置评分因素并设定权重(示意表述)</t>
        </is>
      </c>
      <c r="R9" s="85" t="inlineStr">
        <is>
          <t>本条未设</t>
        </is>
      </c>
      <c r="S9" s="85" t="inlineStr">
        <is>
          <t>【地方层启动后核实填入】</t>
        </is>
      </c>
      <c r="T9" s="84" t="n"/>
      <c r="U9" s="84" t="n"/>
      <c r="V9" s="85" t="inlineStr">
        <is>
          <t>细化性</t>
        </is>
      </c>
      <c r="W9" s="85" t="inlineStr">
        <is>
          <t>发布机关官网</t>
        </is>
      </c>
      <c r="X9" s="84" t="inlineStr">
        <is>
          <t>(地方层学生)</t>
        </is>
      </c>
      <c r="Y9" s="84" t="inlineStr">
        <is>
          <t>v1</t>
        </is>
      </c>
      <c r="Z9" s="84" t="n"/>
      <c r="AA9" s="85" t="inlineStr">
        <is>
          <t>地方层格式示意(内容虚构,仅示范填法):在国家竞争配置框架内细化评分规则→细化性;条目ID前缀改用L+组号</t>
        </is>
      </c>
    </row>
    <row r="11" ht="15" customHeight="1" s="42">
      <c r="A11" s="51" t="inlineStr">
        <is>
          <t>绿=满分  红=典型错误  黄=边界情况  蓝=指导性  紫=地方层示意(内容虚构,仅示范格式)。开学第一课投影前四行:先让学生找红行错误,再对比绿行与蓝行——同是「应当/鼓励」,为何一个义务性一个指导性;讲央地字段时用ex1与ex3对比「统一执行」与「未作规定」。</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808080"/>
    <outlinePr summaryBelow="1" summaryRight="1"/>
    <pageSetUpPr fitToPage="0"/>
  </sheetPr>
  <dimension ref="A1:E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41" min="1" max="1"/>
    <col width="10" customWidth="1" style="41" min="2" max="2"/>
    <col width="22" customWidth="1" style="41" min="3" max="3"/>
    <col width="44" customWidth="1" style="41" min="4" max="4"/>
    <col width="48" customWidth="1" style="41" min="5" max="5"/>
  </cols>
  <sheetData>
    <row r="1" ht="17.35" customHeight="1" s="42">
      <c r="A1" s="43" t="inlineStr">
        <is>
          <t>标注规范修订日志</t>
        </is>
      </c>
    </row>
    <row r="2" ht="15" customHeight="1" s="42">
      <c r="A2" s="51" t="inlineStr">
        <is>
          <t>每个坑都记在这里。这份日志是首篇文章的核心素材。</t>
        </is>
      </c>
    </row>
    <row r="4" ht="15" customHeight="1" s="42">
      <c r="A4" s="52" t="inlineStr">
        <is>
          <t>日期</t>
        </is>
      </c>
      <c r="B4" s="52" t="inlineStr">
        <is>
          <t>版本</t>
        </is>
      </c>
      <c r="C4" s="52" t="inlineStr">
        <is>
          <t>改动字段</t>
        </is>
      </c>
      <c r="D4" s="52" t="inlineStr">
        <is>
          <t>改动内容</t>
        </is>
      </c>
      <c r="E4" s="52" t="inlineStr">
        <is>
          <t>触发原因(踩了什么坑)</t>
        </is>
      </c>
    </row>
    <row r="5" ht="30" customHeight="1" s="42">
      <c r="A5" s="53" t="inlineStr">
        <is>
          <t>2026-08-08</t>
        </is>
      </c>
      <c r="B5" s="53" t="inlineStr">
        <is>
          <t>v0.1</t>
        </is>
      </c>
      <c r="C5" s="53" t="inlineStr">
        <is>
          <t>—</t>
        </is>
      </c>
      <c r="D5" s="54" t="inlineStr">
        <is>
          <t>初版建立,24个字段</t>
        </is>
      </c>
      <c r="E5" s="53" t="inlineStr">
        <is>
          <t>Day2 设计</t>
        </is>
      </c>
    </row>
    <row r="6" ht="30" customHeight="1" s="42">
      <c r="A6" s="53" t="inlineStr">
        <is>
          <t>2026-08-17</t>
        </is>
      </c>
      <c r="B6" s="53" t="inlineStr">
        <is>
          <t>v0.2</t>
        </is>
      </c>
      <c r="C6" s="54" t="inlineStr">
        <is>
          <t>主题标签</t>
        </is>
      </c>
      <c r="D6" s="54" t="inlineStr">
        <is>
          <t>七类流程型标签重构为九类对象型标签</t>
        </is>
      </c>
      <c r="E6" s="54" t="inlineStr">
        <is>
          <t>收集85份规范时发现:预设流程标签限制阅读判断;实际文件按对象聚类更自然</t>
        </is>
      </c>
    </row>
    <row r="7" ht="30" customHeight="1" s="42">
      <c r="A7" s="53" t="inlineStr">
        <is>
          <t>2026-08-17</t>
        </is>
      </c>
      <c r="B7" s="53" t="inlineStr">
        <is>
          <t>v0.2</t>
        </is>
      </c>
      <c r="C7" s="54" t="inlineStr">
        <is>
          <t>位阶</t>
        </is>
      </c>
      <c r="D7" s="54" t="inlineStr">
        <is>
          <t>「地方性法规」替换为「地方立法」</t>
        </is>
      </c>
      <c r="E7" s="54" t="inlineStr">
        <is>
          <t>地方层面须同时涵盖地方性法规与地方政府规章;现有数据零迁移成本</t>
        </is>
      </c>
    </row>
    <row r="8" ht="30" customHeight="1" s="42">
      <c r="A8" s="53" t="inlineStr">
        <is>
          <t>2026-08-17</t>
        </is>
      </c>
      <c r="B8" s="53" t="inlineStr">
        <is>
          <t>v0.2</t>
        </is>
      </c>
      <c r="C8" s="54" t="inlineStr">
        <is>
          <t>文号</t>
        </is>
      </c>
      <c r="D8" s="54" t="inlineStr">
        <is>
          <t>法律可不填或写「无文号」</t>
        </is>
      </c>
      <c r="E8" s="54" t="inlineStr">
        <is>
          <t>多部法律无发文字号,强制必填导致占位符泛滥</t>
        </is>
      </c>
    </row>
    <row r="9" ht="30" customHeight="1" s="42">
      <c r="A9" s="53" t="inlineStr">
        <is>
          <t>2026-08-17</t>
        </is>
      </c>
      <c r="B9" s="53" t="inlineStr">
        <is>
          <t>v0.2</t>
        </is>
      </c>
      <c r="C9" s="54" t="inlineStr">
        <is>
          <t>发布机关</t>
        </is>
      </c>
      <c r="D9" s="54" t="inlineStr">
        <is>
          <t>更名发布机关/牵头机关;词表增财政部、国土资源部(已并入自然资源部)</t>
        </is>
      </c>
      <c r="E9" s="54" t="inlineStr">
        <is>
          <t>实际清单出现财税文件与国土资源部旧规章</t>
        </is>
      </c>
    </row>
    <row r="10" ht="30" customHeight="1" s="42">
      <c r="A10" s="53" t="inlineStr">
        <is>
          <t>2026-08-17</t>
        </is>
      </c>
      <c r="B10" s="53" t="inlineStr">
        <is>
          <t>v0.2</t>
        </is>
      </c>
      <c r="C10" s="54" t="inlineStr">
        <is>
          <t>条文定位</t>
        </is>
      </c>
      <c r="D10" s="54" t="inlineStr">
        <is>
          <t>允许「第X段」</t>
        </is>
      </c>
      <c r="E10" s="54" t="inlineStr">
        <is>
          <t>大量政策文件无条款结构,原规则无法适用</t>
        </is>
      </c>
    </row>
    <row r="11" ht="30" customHeight="1" s="42">
      <c r="A11" s="53" t="inlineStr">
        <is>
          <t>2026-08-17</t>
        </is>
      </c>
      <c r="B11" s="53" t="inlineStr">
        <is>
          <t>v0.2</t>
        </is>
      </c>
      <c r="C11" s="54" t="inlineStr">
        <is>
          <t>行为模式类型</t>
        </is>
      </c>
      <c r="D11" s="54" t="inlineStr">
        <is>
          <t>增设「指导性」</t>
        </is>
      </c>
      <c r="E11" s="54" t="inlineStr">
        <is>
          <t>经济公法含大量框架性规则:对象抽象、无直接执行力,功能在于指明方向、留出创造空间</t>
        </is>
      </c>
    </row>
    <row r="12" ht="30" customHeight="1" s="42">
      <c r="A12" s="53" t="inlineStr">
        <is>
          <t>2026-08-17</t>
        </is>
      </c>
      <c r="B12" s="53" t="inlineStr">
        <is>
          <t>v0.2</t>
        </is>
      </c>
      <c r="C12" s="54" t="inlineStr">
        <is>
          <t>规范清单新列</t>
        </is>
      </c>
      <c r="D12" s="54" t="inlineStr">
        <is>
          <t>增设核心程度(1-5星,≥4星双人录入)、关联规范(单链)</t>
        </is>
      </c>
      <c r="E12" s="54" t="inlineStr">
        <is>
          <t>质量控制前移;显性化规范间沿袭关系</t>
        </is>
      </c>
    </row>
    <row r="13" ht="30" customHeight="1" s="42">
      <c r="A13" s="53" t="inlineStr">
        <is>
          <t>2026-08-22</t>
        </is>
      </c>
      <c r="B13" s="53" t="inlineStr">
        <is>
          <t>v0.4</t>
        </is>
      </c>
      <c r="C13" s="54" t="inlineStr">
        <is>
          <t>主题标签</t>
        </is>
      </c>
      <c r="D13" s="54" t="inlineStr">
        <is>
          <t>「电力基础设施」更名「能源基础设施」</t>
        </is>
      </c>
      <c r="E13" s="54" t="inlineStr">
        <is>
          <t>海洋能转化方向多元(电、氢、淡化水、油气),原标签使电缆管道类文件归属别扭;新名同时容纳电网并网与各类管线</t>
        </is>
      </c>
    </row>
    <row r="14" ht="30" customHeight="1" s="42">
      <c r="A14" s="53" t="inlineStr">
        <is>
          <t>2026-08-22</t>
        </is>
      </c>
      <c r="B14" s="53" t="inlineStr">
        <is>
          <t>v0.4</t>
        </is>
      </c>
      <c r="C14" s="54" t="inlineStr">
        <is>
          <t>规范清单</t>
        </is>
      </c>
      <c r="D14" s="54" t="inlineStr">
        <is>
          <t>按核心程度→位阶→施行日期重排;标签与星级经教师核对定稿;关联规范转学生任务字段</t>
        </is>
      </c>
      <c r="E14" s="54" t="inlineStr">
        <is>
          <t>教学分配需要按重要性排列的认领清单;星级修订后双人增量400→360,总工作量1198</t>
        </is>
      </c>
    </row>
    <row r="15" ht="30" customHeight="1" s="42">
      <c r="A15" s="53" t="inlineStr">
        <is>
          <t>2026-08-22</t>
        </is>
      </c>
      <c r="B15" s="53" t="inlineStr">
        <is>
          <t>v0.4</t>
        </is>
      </c>
      <c r="C15" s="54" t="inlineStr">
        <is>
          <t>容量核算</t>
        </is>
      </c>
      <c r="D15" s="54" t="inlineStr">
        <is>
          <t>学生人数按名单定为52</t>
        </is>
      </c>
      <c r="E15" s="54" t="inlineStr">
        <is>
          <t>实际选课名单到位</t>
        </is>
      </c>
    </row>
    <row r="16" ht="30" customHeight="1" s="42">
      <c r="A16" s="53" t="inlineStr">
        <is>
          <t>2026-08-20</t>
        </is>
      </c>
      <c r="B16" s="53" t="inlineStr">
        <is>
          <t>v0.3</t>
        </is>
      </c>
      <c r="C16" s="54" t="inlineStr">
        <is>
          <t>规范清单新列</t>
        </is>
      </c>
      <c r="D16" s="54" t="inlineStr">
        <is>
          <t>增设「区域」列(国家/11沿海省市),国家层与地方层共用一张表</t>
        </is>
      </c>
      <c r="E16" s="54" t="inlineStr">
        <is>
          <t>央地比对是机器查询,同构数据必须同表;为地方层(公开路线图项)预留零重构接入</t>
        </is>
      </c>
    </row>
    <row r="17" ht="30" customHeight="1" s="42">
      <c r="A17" s="53" t="inlineStr">
        <is>
          <t>2026-08-20</t>
        </is>
      </c>
      <c r="B17" s="53" t="inlineStr">
        <is>
          <t>v0.3</t>
        </is>
      </c>
      <c r="C17" s="54" t="inlineStr">
        <is>
          <t>字段定义</t>
        </is>
      </c>
      <c r="D17" s="54" t="inlineStr">
        <is>
          <t>新增镜像字段对:央地权限配置(国家层)/地方自主权类型(地方层)及制定区域</t>
        </is>
      </c>
      <c r="E17" s="54" t="inlineStr">
        <is>
          <t>地方自主权五分类直接用于国家层存在类别错位,改为镜像设计;交叉矩阵成为央地关系分析仪器</t>
        </is>
      </c>
    </row>
    <row r="18" ht="30" customHeight="1" s="42">
      <c r="A18" s="53" t="inlineStr">
        <is>
          <t>2026-08-20</t>
        </is>
      </c>
      <c r="B18" s="53" t="inlineStr">
        <is>
          <t>v0.3</t>
        </is>
      </c>
      <c r="C18" s="54" t="inlineStr">
        <is>
          <t>容量核算</t>
        </is>
      </c>
      <c r="D18" s="54" t="inlineStr">
        <is>
          <t>人均条目20→25;改按产能vs总工作量(含双人复核增量)核算,弃用盲目冗余系数</t>
        </is>
      </c>
      <c r="E18" s="54" t="inlineStr">
        <is>
          <t>国家层总工作量1238人条≈50×25产能,认领制+双人复核已替代冗余系数功能</t>
        </is>
      </c>
    </row>
    <row r="19" ht="30" customHeight="1" s="42">
      <c r="A19" s="53" t="inlineStr">
        <is>
          <t>2026-08-17</t>
        </is>
      </c>
      <c r="B19" s="53" t="inlineStr">
        <is>
          <t>v0.2</t>
        </is>
      </c>
      <c r="C19" s="54" t="inlineStr">
        <is>
          <t>数据清洗</t>
        </is>
      </c>
      <c r="D19" s="54" t="inlineStr">
        <is>
          <t>清除5处不可见字符(零宽空格/制表符/不换行空格)</t>
        </is>
      </c>
      <c r="E19" s="54" t="inlineStr">
        <is>
          <t>网页复制残留,肉眼不可见但破坏机器匹配——本身即是教学案例</t>
        </is>
      </c>
    </row>
    <row r="20" ht="15" customHeight="1" s="42">
      <c r="A20" s="86" t="inlineStr">
        <is>
          <t>2026-08-24</t>
        </is>
      </c>
      <c r="B20" s="86" t="inlineStr">
        <is>
          <t>v0.5</t>
        </is>
      </c>
      <c r="C20" s="86" t="inlineStr">
        <is>
          <t>条文定位</t>
        </is>
      </c>
      <c r="D20" s="86" t="inlineStr">
        <is>
          <t>允许「项」编号:政策文件(一)(二)…连续编号按项定位</t>
        </is>
      </c>
      <c r="E20" s="86" t="inlineStr">
        <is>
          <t>第二轮自测(S037)发现政策文件业务性部分普遍使用(一)(二)连续编号,原规则误拦合规定位</t>
        </is>
      </c>
    </row>
    <row r="21" ht="15" customHeight="1" s="42">
      <c r="A21" s="86" t="inlineStr">
        <is>
          <t>2026-08-24</t>
        </is>
      </c>
      <c r="B21" s="86" t="inlineStr">
        <is>
          <t>v0.5</t>
        </is>
      </c>
      <c r="C21" s="86" t="inlineStr">
        <is>
          <t>行为模式类型</t>
        </is>
      </c>
      <c r="D21" s="86" t="inlineStr">
        <is>
          <t>增设「惩罚性」</t>
        </is>
      </c>
      <c r="E21" s="86" t="inlineStr">
        <is>
          <t>法律责任单列一章是中国立法惯例,制裁规范应单独标注而非硬归义务性</t>
        </is>
      </c>
    </row>
    <row r="22" ht="15" customHeight="1" s="42">
      <c r="A22" s="86" t="inlineStr">
        <is>
          <t>2026-08-24</t>
        </is>
      </c>
      <c r="B22" s="86" t="inlineStr">
        <is>
          <t>v0.5</t>
        </is>
      </c>
      <c r="C22" s="86" t="inlineStr">
        <is>
          <t>重复判定</t>
        </is>
      </c>
      <c r="D22" s="86" t="inlineStr">
        <is>
          <t>一文多义拆分规则:同一定位可拆多条,备注注明理由;校验由错误降级为提醒</t>
        </is>
      </c>
      <c r="E22" s="86" t="inlineStr">
        <is>
          <t>自测发现同一句原文同时包含市场准入与价格两种性质的规范</t>
        </is>
      </c>
    </row>
    <row r="23" ht="15" customHeight="1" s="42">
      <c r="A23" s="86" t="inlineStr">
        <is>
          <t>2026-08-24</t>
        </is>
      </c>
      <c r="B23" s="86" t="inlineStr">
        <is>
          <t>v0.5</t>
        </is>
      </c>
      <c r="C23" s="86" t="inlineStr">
        <is>
          <t>规范主体</t>
        </is>
      </c>
      <c r="D23" s="86" t="inlineStr">
        <is>
          <t>增补推断指引:未明示主体时依章节归属、上下文与权威资料推断并备注依据</t>
        </is>
      </c>
      <c r="E23" s="86" t="inlineStr">
        <is>
          <t>大量条文不直接写明规制对象,本科生普遍卡壳——推断过程本身是法律解释训练</t>
        </is>
      </c>
    </row>
    <row r="24" ht="15" customHeight="1" s="42">
      <c r="A24" s="77" t="n"/>
      <c r="B24" s="77" t="n"/>
      <c r="C24" s="77" t="n"/>
      <c r="D24" s="77" t="n"/>
      <c r="E24" s="77" t="n"/>
    </row>
    <row r="25" ht="15" customHeight="1" s="42">
      <c r="A25" s="77" t="n"/>
      <c r="B25" s="77" t="n"/>
      <c r="C25" s="77" t="n"/>
      <c r="D25" s="77" t="n"/>
      <c r="E25" s="77" t="n"/>
    </row>
    <row r="26" ht="15" customHeight="1" s="42">
      <c r="A26" s="77" t="n"/>
      <c r="B26" s="77" t="n"/>
      <c r="C26" s="77" t="n"/>
      <c r="D26" s="77" t="n"/>
      <c r="E26" s="77" t="n"/>
    </row>
    <row r="27" ht="15" customHeight="1" s="42">
      <c r="A27" s="77" t="n"/>
      <c r="B27" s="77" t="n"/>
      <c r="C27" s="77" t="n"/>
      <c r="D27" s="77" t="n"/>
      <c r="E27" s="77" t="n"/>
    </row>
    <row r="28" ht="15" customHeight="1" s="42">
      <c r="A28" s="77" t="n"/>
      <c r="B28" s="77" t="n"/>
      <c r="C28" s="77" t="n"/>
      <c r="D28" s="77" t="n"/>
      <c r="E28" s="77" t="n"/>
    </row>
    <row r="29" ht="15" customHeight="1" s="42">
      <c r="A29" s="77" t="n"/>
      <c r="B29" s="77" t="n"/>
      <c r="C29" s="77" t="n"/>
      <c r="D29" s="77" t="n"/>
      <c r="E29" s="77" t="n"/>
    </row>
    <row r="30" ht="15" customHeight="1" s="42">
      <c r="A30" s="77" t="n"/>
      <c r="B30" s="77" t="n"/>
      <c r="C30" s="77" t="n"/>
      <c r="D30" s="77" t="n"/>
      <c r="E30" s="77" t="n"/>
    </row>
    <row r="31" ht="15" customHeight="1" s="42">
      <c r="A31" s="77" t="n"/>
      <c r="B31" s="77" t="n"/>
      <c r="C31" s="77" t="n"/>
      <c r="D31" s="77" t="n"/>
      <c r="E31" s="77" t="n"/>
    </row>
    <row r="32" ht="15" customHeight="1" s="42">
      <c r="A32" s="77" t="n"/>
      <c r="B32" s="77" t="n"/>
      <c r="C32" s="77" t="n"/>
      <c r="D32" s="77" t="n"/>
      <c r="E32" s="77" t="n"/>
    </row>
    <row r="33" ht="15" customHeight="1" s="42">
      <c r="A33" s="77" t="n"/>
      <c r="B33" s="77" t="n"/>
      <c r="C33" s="77" t="n"/>
      <c r="D33" s="77" t="n"/>
      <c r="E33" s="77" t="n"/>
    </row>
    <row r="34" ht="15" customHeight="1" s="42">
      <c r="A34" s="77" t="n"/>
      <c r="B34" s="77" t="n"/>
      <c r="C34" s="77" t="n"/>
      <c r="D34" s="77" t="n"/>
      <c r="E34" s="77" t="n"/>
    </row>
    <row r="35" ht="15" customHeight="1" s="42">
      <c r="A35" s="77" t="n"/>
      <c r="B35" s="77" t="n"/>
      <c r="C35" s="77" t="n"/>
      <c r="D35" s="77" t="n"/>
      <c r="E35" s="77" t="n"/>
    </row>
    <row r="36" ht="15" customHeight="1" s="42">
      <c r="A36" s="77" t="n"/>
      <c r="B36" s="77" t="n"/>
      <c r="C36" s="77" t="n"/>
      <c r="D36" s="77" t="n"/>
      <c r="E36" s="77" t="n"/>
    </row>
    <row r="37" ht="15" customHeight="1" s="42">
      <c r="A37" s="77" t="n"/>
      <c r="B37" s="77" t="n"/>
      <c r="C37" s="77" t="n"/>
      <c r="D37" s="77" t="n"/>
      <c r="E37" s="77" t="n"/>
    </row>
    <row r="38" ht="15" customHeight="1" s="42">
      <c r="A38" s="77" t="n"/>
      <c r="B38" s="77" t="n"/>
      <c r="C38" s="77" t="n"/>
      <c r="D38" s="77" t="n"/>
      <c r="E38" s="77" t="n"/>
    </row>
    <row r="39" ht="15" customHeight="1" s="42">
      <c r="A39" s="77" t="n"/>
      <c r="B39" s="77" t="n"/>
      <c r="C39" s="77" t="n"/>
      <c r="D39" s="77" t="n"/>
      <c r="E39" s="77" t="n"/>
    </row>
    <row r="40" ht="15" customHeight="1" s="42">
      <c r="A40" s="77" t="n"/>
      <c r="B40" s="77" t="n"/>
      <c r="C40" s="77" t="n"/>
      <c r="D40" s="77" t="n"/>
      <c r="E40" s="77" t="n"/>
    </row>
    <row r="41" ht="15" customHeight="1" s="42">
      <c r="A41" s="77" t="n"/>
      <c r="B41" s="77" t="n"/>
      <c r="C41" s="77" t="n"/>
      <c r="D41" s="77" t="n"/>
      <c r="E41" s="77" t="n"/>
    </row>
    <row r="42" ht="15" customHeight="1" s="42">
      <c r="A42" s="77" t="n"/>
      <c r="B42" s="77" t="n"/>
      <c r="C42" s="77" t="n"/>
      <c r="D42" s="77" t="n"/>
      <c r="E42" s="77" t="n"/>
    </row>
    <row r="43" ht="15" customHeight="1" s="42">
      <c r="A43" s="77" t="n"/>
      <c r="B43" s="77" t="n"/>
      <c r="C43" s="77" t="n"/>
      <c r="D43" s="77" t="n"/>
      <c r="E43" s="77" t="n"/>
    </row>
    <row r="44" ht="15" customHeight="1" s="42">
      <c r="A44" s="77" t="n"/>
      <c r="B44" s="77" t="n"/>
      <c r="C44" s="77" t="n"/>
      <c r="D44" s="77" t="n"/>
      <c r="E44" s="7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2026-08-20T04:20:00Z</dcterms:created>
  <dcterms:modified xmlns:dcterms="http://purl.org/dc/terms/" xmlns:xsi="http://www.w3.org/2001/XMLSchema-instance" xsi:type="dcterms:W3CDTF">2026-08-25T10:55:53Z</dcterms:modified>
  <cp:revision>0</cp:revision>
</cp:coreProperties>
</file>